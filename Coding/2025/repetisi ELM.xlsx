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sqi\Kuliah\SKRIPSI\Coding\2025\"/>
    </mc:Choice>
  </mc:AlternateContent>
  <xr:revisionPtr revIDLastSave="0" documentId="13_ncr:1_{3661BE18-D5C5-4A05-A864-E7F33D171782}" xr6:coauthVersionLast="47" xr6:coauthVersionMax="47" xr10:uidLastSave="{00000000-0000-0000-0000-000000000000}"/>
  <bookViews>
    <workbookView xWindow="-108" yWindow="-108" windowWidth="23256" windowHeight="12576" xr2:uid="{C01A3729-4790-4526-B1C9-30EB5CDD8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1" l="1"/>
  <c r="AC7" i="1"/>
  <c r="AC8" i="1"/>
  <c r="AC5" i="1"/>
  <c r="S24" i="1"/>
  <c r="H24" i="1"/>
  <c r="S22" i="1"/>
  <c r="H22" i="1"/>
  <c r="S20" i="1"/>
  <c r="H20" i="1"/>
  <c r="S18" i="1"/>
  <c r="H18" i="1"/>
  <c r="S16" i="1"/>
  <c r="H16" i="1"/>
  <c r="S14" i="1"/>
  <c r="H14" i="1"/>
  <c r="S12" i="1"/>
  <c r="H12" i="1"/>
  <c r="S10" i="1"/>
  <c r="H10" i="1"/>
  <c r="P6" i="1"/>
  <c r="K10" i="1"/>
  <c r="V24" i="1"/>
  <c r="V22" i="1"/>
  <c r="V20" i="1"/>
  <c r="V18" i="1"/>
  <c r="V16" i="1"/>
  <c r="V14" i="1"/>
  <c r="V12" i="1"/>
  <c r="V10" i="1"/>
  <c r="K24" i="1"/>
  <c r="K22" i="1"/>
  <c r="K20" i="1"/>
  <c r="K18" i="1"/>
  <c r="K16" i="1"/>
  <c r="K14" i="1"/>
  <c r="K12" i="1"/>
  <c r="AA8" i="1"/>
  <c r="AA7" i="1"/>
  <c r="AA6" i="1"/>
  <c r="AA5" i="1"/>
  <c r="P7" i="1"/>
  <c r="P8" i="1"/>
  <c r="P5" i="1"/>
</calcChain>
</file>

<file path=xl/sharedStrings.xml><?xml version="1.0" encoding="utf-8"?>
<sst xmlns="http://schemas.openxmlformats.org/spreadsheetml/2006/main" count="34" uniqueCount="18">
  <si>
    <t>MAE</t>
  </si>
  <si>
    <t>MSE</t>
  </si>
  <si>
    <t>1&amp;20</t>
  </si>
  <si>
    <t>1&amp;10</t>
  </si>
  <si>
    <t>3&amp;10</t>
  </si>
  <si>
    <t>5&amp;10</t>
  </si>
  <si>
    <t>10&amp;10</t>
  </si>
  <si>
    <t>15&amp;10</t>
  </si>
  <si>
    <t>20&amp;10</t>
  </si>
  <si>
    <t>25&amp;10</t>
  </si>
  <si>
    <t>30&amp;10</t>
  </si>
  <si>
    <t>3&amp;20</t>
  </si>
  <si>
    <t>5&amp;20</t>
  </si>
  <si>
    <t>10&amp;20</t>
  </si>
  <si>
    <t>15&amp;20</t>
  </si>
  <si>
    <t>20&amp;20</t>
  </si>
  <si>
    <t>25&amp;20</t>
  </si>
  <si>
    <t>30&amp;20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</si>
</sst>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0" xfId="0" applyNumberFormat="1"/>
    <xf numFmtId="2" fontId="1" fillId="2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BFD8-B011-4ABA-BE25-2A23DF110574}">
  <dimension ref="G2:AE24"/>
  <sheetViews>
    <sheetView tabSelected="1" topLeftCell="K1" workbookViewId="0">
      <selection activeCell="AD10" sqref="AD10"/>
    </sheetView>
  </sheetViews>
  <sheetFormatPr defaultRowHeight="14.4" x14ac:dyDescent="0.3"/>
  <cols>
    <col min="8" max="8" width="10.5546875" bestFit="1" customWidth="1"/>
  </cols>
  <sheetData>
    <row r="2" spans="7:31" x14ac:dyDescent="0.3">
      <c r="H2" t="s">
        <v>0</v>
      </c>
      <c r="S2" t="s">
        <v>1</v>
      </c>
    </row>
    <row r="4" spans="7:31" x14ac:dyDescent="0.3">
      <c r="G4" s="1"/>
      <c r="H4" s="1">
        <v>1</v>
      </c>
      <c r="I4" s="1">
        <v>3</v>
      </c>
      <c r="J4" s="1">
        <v>5</v>
      </c>
      <c r="K4" s="1">
        <v>10</v>
      </c>
      <c r="L4" s="1">
        <v>15</v>
      </c>
      <c r="M4" s="1">
        <v>20</v>
      </c>
      <c r="N4" s="1">
        <v>25</v>
      </c>
      <c r="O4" s="1">
        <v>30</v>
      </c>
      <c r="R4" s="1"/>
      <c r="S4" s="1">
        <v>1</v>
      </c>
      <c r="T4" s="1">
        <v>3</v>
      </c>
      <c r="U4" s="1">
        <v>5</v>
      </c>
      <c r="V4" s="1">
        <v>10</v>
      </c>
      <c r="W4" s="1">
        <v>15</v>
      </c>
      <c r="X4" s="1">
        <v>20</v>
      </c>
      <c r="Y4" s="1">
        <v>25</v>
      </c>
      <c r="Z4" s="1">
        <v>30</v>
      </c>
    </row>
    <row r="5" spans="7:31" x14ac:dyDescent="0.3">
      <c r="G5" s="1">
        <v>5</v>
      </c>
      <c r="H5" s="4">
        <v>5.8342301434956703</v>
      </c>
      <c r="I5" s="2">
        <v>5.877692702381804</v>
      </c>
      <c r="J5" s="6">
        <v>6.1613915088537894</v>
      </c>
      <c r="K5" s="2">
        <v>6.8728868649125143</v>
      </c>
      <c r="L5" s="2">
        <v>6.9341731630741279</v>
      </c>
      <c r="M5" s="2">
        <v>7.0651671799961804</v>
      </c>
      <c r="N5" s="2">
        <v>7.2298710135505697</v>
      </c>
      <c r="O5" s="2">
        <v>7.3069463669274857</v>
      </c>
      <c r="P5" s="3">
        <f>MIN(H5:O5)</f>
        <v>5.8342301434956703</v>
      </c>
      <c r="R5" s="1">
        <v>5</v>
      </c>
      <c r="S5" s="2">
        <v>252.55570561533341</v>
      </c>
      <c r="T5" s="2">
        <v>228.2091170788122</v>
      </c>
      <c r="U5" s="2">
        <v>233.71541366217261</v>
      </c>
      <c r="V5" s="4">
        <v>223.40650690649198</v>
      </c>
      <c r="W5" s="2">
        <v>231.62934628981102</v>
      </c>
      <c r="X5" s="2">
        <v>232.14496880217439</v>
      </c>
      <c r="Y5" s="2">
        <v>240.42014022292378</v>
      </c>
      <c r="Z5" s="6">
        <v>245.45231635236897</v>
      </c>
      <c r="AA5" s="3">
        <f>MIN(S5:Z5)</f>
        <v>223.40650690649198</v>
      </c>
      <c r="AB5" s="3"/>
      <c r="AC5" s="3">
        <f>SQRT(AA5)</f>
        <v>14.946789183851225</v>
      </c>
      <c r="AD5" s="3"/>
      <c r="AE5" s="3"/>
    </row>
    <row r="6" spans="7:31" x14ac:dyDescent="0.3">
      <c r="G6" s="1">
        <v>10</v>
      </c>
      <c r="H6" s="4">
        <v>5.8350602262953739</v>
      </c>
      <c r="I6" s="2">
        <v>5.8953535580209273</v>
      </c>
      <c r="J6" s="6">
        <v>6.1146358382176462</v>
      </c>
      <c r="K6" s="2">
        <v>6.9469972668046207</v>
      </c>
      <c r="L6" s="2">
        <v>7.0265332720254978</v>
      </c>
      <c r="M6" s="2">
        <v>7.1302558673187466</v>
      </c>
      <c r="N6" s="2">
        <v>7.2212710080248144</v>
      </c>
      <c r="O6" s="2">
        <v>7.2915945237830773</v>
      </c>
      <c r="P6" s="3">
        <f>MIN(H6:O6)</f>
        <v>5.8350602262953739</v>
      </c>
      <c r="Q6" s="3"/>
      <c r="R6" s="5">
        <v>10</v>
      </c>
      <c r="S6" s="2">
        <v>250.33511374184019</v>
      </c>
      <c r="T6" s="2">
        <v>234.60951804155849</v>
      </c>
      <c r="U6" s="2">
        <v>227.50854263982933</v>
      </c>
      <c r="V6" s="4">
        <v>225.57194044699355</v>
      </c>
      <c r="W6" s="2">
        <v>230.8934739404728</v>
      </c>
      <c r="X6" s="2">
        <v>234.33652187617949</v>
      </c>
      <c r="Y6" s="2">
        <v>239.75787442421461</v>
      </c>
      <c r="Z6" s="6">
        <v>244.39509416895561</v>
      </c>
      <c r="AA6" s="3">
        <f t="shared" ref="AA6:AA8" si="0">MIN(S6:Z6)</f>
        <v>225.57194044699355</v>
      </c>
      <c r="AC6" s="3">
        <f t="shared" ref="AC6:AC8" si="1">SQRT(AA6)</f>
        <v>15.019052581537677</v>
      </c>
    </row>
    <row r="7" spans="7:31" x14ac:dyDescent="0.3">
      <c r="G7" s="1">
        <v>15</v>
      </c>
      <c r="H7" s="4">
        <v>5.9603574026599855</v>
      </c>
      <c r="I7" s="2">
        <v>6.0011718838343135</v>
      </c>
      <c r="J7" s="6">
        <v>6.2562547894479605</v>
      </c>
      <c r="K7" s="2">
        <v>6.9350882178018729</v>
      </c>
      <c r="L7" s="2">
        <v>7.0796826423112691</v>
      </c>
      <c r="M7" s="2">
        <v>7.1446079808502052</v>
      </c>
      <c r="N7" s="2">
        <v>7.2149493674147607</v>
      </c>
      <c r="O7" s="2">
        <v>7.2950545677412979</v>
      </c>
      <c r="P7" s="3">
        <f t="shared" ref="P7:P8" si="2">MIN(H7:O7)</f>
        <v>5.9603574026599855</v>
      </c>
      <c r="R7" s="1">
        <v>15</v>
      </c>
      <c r="S7" s="2">
        <v>251.81076740125943</v>
      </c>
      <c r="T7" s="2">
        <v>233.67208805716209</v>
      </c>
      <c r="U7" s="4">
        <v>225.05254266681214</v>
      </c>
      <c r="V7" s="6">
        <v>226.25107994520539</v>
      </c>
      <c r="W7" s="2">
        <v>230.9443971832448</v>
      </c>
      <c r="X7" s="2">
        <v>235.40081399013309</v>
      </c>
      <c r="Y7" s="2">
        <v>240.31414553485686</v>
      </c>
      <c r="Z7" s="6">
        <v>245.31992605444714</v>
      </c>
      <c r="AA7" s="3">
        <f t="shared" si="0"/>
        <v>225.05254266681214</v>
      </c>
      <c r="AC7" s="3">
        <f t="shared" si="1"/>
        <v>15.001751319989681</v>
      </c>
    </row>
    <row r="8" spans="7:31" x14ac:dyDescent="0.3">
      <c r="G8" s="1">
        <v>20</v>
      </c>
      <c r="H8" s="4">
        <v>5.9406904846680213</v>
      </c>
      <c r="I8" s="2">
        <v>5.9501285875659562</v>
      </c>
      <c r="J8" s="6">
        <v>6.2525534278735444</v>
      </c>
      <c r="K8" s="2">
        <v>6.9158058724451461</v>
      </c>
      <c r="L8" s="2">
        <v>7.0842033702958105</v>
      </c>
      <c r="M8" s="2">
        <v>7.1885022009797002</v>
      </c>
      <c r="N8" s="2">
        <v>7.2026148696378298</v>
      </c>
      <c r="O8" s="2">
        <v>7.2897467933067563</v>
      </c>
      <c r="P8" s="3">
        <f t="shared" si="2"/>
        <v>5.9406904846680213</v>
      </c>
      <c r="R8" s="1">
        <v>20</v>
      </c>
      <c r="S8" s="2">
        <v>252.14423220723657</v>
      </c>
      <c r="T8" s="2">
        <v>233.05845172408826</v>
      </c>
      <c r="U8" s="4">
        <v>224.99070141028773</v>
      </c>
      <c r="V8" s="6">
        <v>226.47596496321893</v>
      </c>
      <c r="W8" s="2">
        <v>230.93463416978133</v>
      </c>
      <c r="X8" s="2">
        <v>238.41829169018561</v>
      </c>
      <c r="Y8" s="2">
        <v>239.89679203857912</v>
      </c>
      <c r="Z8" s="6">
        <v>245.51791275312468</v>
      </c>
      <c r="AA8" s="3">
        <f t="shared" si="0"/>
        <v>224.99070141028773</v>
      </c>
      <c r="AC8" s="3">
        <f t="shared" si="1"/>
        <v>14.999690043807163</v>
      </c>
    </row>
    <row r="10" spans="7:31" x14ac:dyDescent="0.3">
      <c r="G10" t="s">
        <v>3</v>
      </c>
      <c r="H10">
        <f>(6.02335531367512+5.88507358884823+ 5.56249567520792+5.77556860550051+5.92465753424657+5.92465753424657+5.63798920707424+5.67380592484808+6.06319600112172+5.87980287818478+6.0374342933866+7.32651938599693+5.85829327856828+6.31670180373284+5.5158100152614+5.93102492784378+5.93230901588236+5.79361611302529+6.16348570199086+5.58801289471834)/20</f>
        <v>5.9406904846680213</v>
      </c>
      <c r="J10" t="s">
        <v>2</v>
      </c>
      <c r="K10">
        <f>(12.3940505841214+11.6593704239233)</f>
        <v>24.053421008044701</v>
      </c>
      <c r="R10" t="s">
        <v>3</v>
      </c>
      <c r="S10">
        <f>(250.531223456202+254.503241361498+228.63984463219+253.098602188421+276.005616438356+276.005616438356+240.894951137212+222.589430117941+250.684141926779+250.398469721447+255.415241399571+275.949290227912+253.440132352769+257.673659483235+231.332050137002+265.630515074759+255.606300440546+249.957496018553+258.452044270048+236.076777321934)/20</f>
        <v>252.14423220723657</v>
      </c>
      <c r="U10" t="s">
        <v>2</v>
      </c>
      <c r="V10">
        <f>(755.723087285888)/5</f>
        <v>151.14461745717762</v>
      </c>
    </row>
    <row r="12" spans="7:31" x14ac:dyDescent="0.3">
      <c r="G12" t="s">
        <v>4</v>
      </c>
      <c r="H12">
        <f>(5.86741400109631+5.97119064433386+5.56778042620952+6.3319816484608+5.65009679180853+6.47136473224657+5.36145607724381+5.37853376992748+6.42444413798308+5.92927335089931+6.56524894249293+6.51793446017671+6.21270232335342+ 5.5020202871939+6.26613666408847+5.49825349749087+5.56222969444044+6.50459682446415+5.9054625151538+5.51445096225517)/20</f>
        <v>5.9501285875659562</v>
      </c>
      <c r="J12" t="s">
        <v>11</v>
      </c>
      <c r="K12">
        <f>(11.2864305105984)/5</f>
        <v>2.2572861021196799</v>
      </c>
      <c r="R12" t="s">
        <v>4</v>
      </c>
      <c r="S12">
        <f>(223.204942732144+221.355589418189+224.622988029542+247.423031548102+224.439033666084+253.634009811882+225.742448591111+225.383075376125+272.872267981922+227.417793260484+250.921468945349+239.552131358891+227.966613357398+223.876048642368+216.669878137841+223.707998110738+225.502533943366+255.761488615065+224.531259615702+226.584433339463)/20</f>
        <v>233.05845172408826</v>
      </c>
      <c r="U12" t="s">
        <v>11</v>
      </c>
      <c r="V12">
        <f>(600.180454539226)/5</f>
        <v>120.03609090784521</v>
      </c>
    </row>
    <row r="14" spans="7:31" x14ac:dyDescent="0.3">
      <c r="G14" t="s">
        <v>5</v>
      </c>
      <c r="H14">
        <f>(6.00786794820764+6.79101030878245+6.44780724758877+5.36813775983792+6.19213427985217+5.91128398317075+6.92945390765081+5.5017629584282+6.36405579348316+5.6328441951746+6.68296872342224+7.47478388171114+6.66321121906948+5.53491567691924+6.34158395842082+6.12736590996289+6.31728690076765+6.42899801817585+6.00758628442582+6.32600960241926)/20</f>
        <v>6.2525534278735444</v>
      </c>
      <c r="J14" t="s">
        <v>12</v>
      </c>
      <c r="K14">
        <f>(10.7249646367021)/5</f>
        <v>2.1449929273404202</v>
      </c>
      <c r="R14" t="s">
        <v>5</v>
      </c>
      <c r="S14">
        <f>(227.176546690474+214.134095847372+244.74546398767+236.214689907319+246.306271878028+221.185474711486+217.797446902036+225.93368426124+216.072969493682+225.518782718986+219.572647425248+216.331897806979+215.284944267681+223.883581628858+225.629642475123+229.467639585323+219.957174885687+220.334594940626+229.390123890451+224.876354901486)/20</f>
        <v>224.99070141028773</v>
      </c>
      <c r="U14" t="s">
        <v>12</v>
      </c>
      <c r="V14">
        <f>(543.016591129222)/5</f>
        <v>108.60331822584439</v>
      </c>
    </row>
    <row r="16" spans="7:31" x14ac:dyDescent="0.3">
      <c r="G16" t="s">
        <v>6</v>
      </c>
      <c r="H16">
        <f>(6.83309381194257+6.96456468096841+7.05065689175868+7.09885962142092+6.41725931847199+7.14513573583245+ 6.99035871202072+6.73452482727995+7.20624781573763+7.02927125261289+7.08753562040961+6.69407098933067+7.14856262095545+6.53646201386502+ 7.08971935442113+7.1057019896373+7.30009524720559+7.16512255149557+5.89819540076295+6.82067899277341)/20</f>
        <v>6.9158058724451461</v>
      </c>
      <c r="J16" t="s">
        <v>13</v>
      </c>
      <c r="K16">
        <f>(11.1155912670818)/5</f>
        <v>2.2231182534163603</v>
      </c>
      <c r="R16" t="s">
        <v>6</v>
      </c>
      <c r="S16">
        <f>(217.820007111967+226.274771595091+223.351833417173+226.42904788562+223.156874522609+224.565514379535+223.774726623825+236.157894371809+228.774601832571+225.414132729735+232.700413776473+233.289694688097+229.331827045016+221.713269911912+221.011589286648+221.44236420663+236.418315429267+231.185319533327+217.466216046858+229.240884870216)/20</f>
        <v>226.47596496321893</v>
      </c>
      <c r="U16" t="s">
        <v>13</v>
      </c>
      <c r="V16">
        <f>(523.681572042492)/5</f>
        <v>104.7363144084984</v>
      </c>
    </row>
    <row r="18" spans="7:22" x14ac:dyDescent="0.3">
      <c r="G18" t="s">
        <v>7</v>
      </c>
      <c r="H18">
        <f>(6.27833570476527+7.13309101263837+7.36147666767015+7.03320161555888+6.86476081473797+7.0207250973071+7.34104490611532+6.99469728701896+7.17534570362296+7.06265391081999+7.17763791647027+7.1573892306184+7.09797381511427+7.33631607575306+7.16058987645805+7.09059249379127+7.00738278695902+7.28334671179541+6.93460860859633+7.17289717010513)/20</f>
        <v>7.0842033702958105</v>
      </c>
      <c r="J18" t="s">
        <v>14</v>
      </c>
      <c r="K18">
        <f>(11.2261094022184)/5</f>
        <v>2.2452218804436801</v>
      </c>
      <c r="R18" t="s">
        <v>7</v>
      </c>
      <c r="S18">
        <f>(220.994657317376+238.058377865409+248.292987498164+225.581441729208+225.219267038898+226.870025855138+244.906549350736+230.848121854106+227.72265134564+220.440659550053+233.152014219457+234.771498098266+227.435936550028+228.001758174198+231.870011301995+223.891422437194+238.176367759471+232.598199284542+228.899669377697+230.961066788051)/20</f>
        <v>230.93463416978133</v>
      </c>
      <c r="U18" t="s">
        <v>14</v>
      </c>
      <c r="V18">
        <f>(511.320798285898)/5</f>
        <v>102.26415965717959</v>
      </c>
    </row>
    <row r="20" spans="7:22" x14ac:dyDescent="0.3">
      <c r="G20" t="s">
        <v>8</v>
      </c>
      <c r="H20">
        <f>(6.95034563416026+7.26278848444777+6.93326621416071+7.14991800240226+7.0295175648099+7.01030444888497+7.55782496975895+7.13407968756925+7.04868013325855+7.22583353373485+7.18732316388849+6.9563153298935+7.35945991666049+7.17075932181281+7.19270330731033+7.21691944998564+7.29026921019334+7.37357075043335+7.46570820780195+7.25445668842664)/20</f>
        <v>7.1885022009797002</v>
      </c>
      <c r="J20" t="s">
        <v>15</v>
      </c>
      <c r="K20">
        <f>(11.2068249203663)/5</f>
        <v>2.2413649840732601</v>
      </c>
      <c r="R20" t="s">
        <v>8</v>
      </c>
      <c r="S20">
        <f>(224.365767460229+243.111173404011+225.043983102044+236.549667902363+231.654252142225+227.671574265138+251.153859191618+233.626862957215+229.287664396777+240.900413940175+235.708492023271+222.704888758488+246.656801174158+237.905852850605+244.67095628368+237.904885707479+240.883547051195+255.352621744412+249.820797929767+ 253.391771518863)/20</f>
        <v>238.41829169018561</v>
      </c>
      <c r="U20" t="s">
        <v>15</v>
      </c>
      <c r="V20">
        <f>(515.998407919824)/5</f>
        <v>103.1996815839648</v>
      </c>
    </row>
    <row r="22" spans="7:22" x14ac:dyDescent="0.3">
      <c r="G22" t="s">
        <v>9</v>
      </c>
      <c r="H22">
        <f>(7.4521579094547+7.2002425137942+7.06667343312777+7.17631285976167+7.25396835161451+7.34634092777063+7.07334519780702+7.1620823839852+7.31200816319835+7.1695783397341+7.35701406822583+ 7.06295263713071+7.11369476560931+7.22922545016827+7.24864350983915+7.2820139768237+7.15985744924404+7.01780009993684+6.97290201751478+7.39548333801581)/20</f>
        <v>7.2026148696378298</v>
      </c>
      <c r="J22" t="s">
        <v>16</v>
      </c>
      <c r="K22">
        <f>(11.1871770927912)/5</f>
        <v>2.2374354185582401</v>
      </c>
      <c r="R22" t="s">
        <v>9</v>
      </c>
      <c r="S22">
        <f>(244.491602704665+242.386535640237+234.210614059014+231.64562590466+249.366322806043+246.012706594361+235.64135572363+238.316876654606+244.081406939996+231.425697214934+245.294311352197+235.745510452134+240.924144408888+239.660192009656+245.509280557832+240.807256050047+241.968716559891+234.499612008334+231.712357745529+244.235715384929)/20</f>
        <v>239.89679203857912</v>
      </c>
      <c r="U22" t="s">
        <v>16</v>
      </c>
      <c r="V22">
        <f>(513.198850813661)/5</f>
        <v>102.6397701627322</v>
      </c>
    </row>
    <row r="24" spans="7:22" x14ac:dyDescent="0.3">
      <c r="G24" t="s">
        <v>10</v>
      </c>
      <c r="H24">
        <f>(7.51251332399077+7.13204627658766+7.15718007544948+7.36004927852594+7.37294288008358+7.13141943227351+7.25841347373678+7.20479876246271+7.568730805079+7.21785092964135+7.02659070905896+7.37148146310095+7.35693085977483+7.42288335781582+7.33198688853812+7.11266406820024+7.29330426049518+7.42954213209741+7.25454503282046+7.27906185640236)/20</f>
        <v>7.2897467933067563</v>
      </c>
      <c r="J24" t="s">
        <v>17</v>
      </c>
      <c r="K24">
        <f>(11.1668915844266)/5</f>
        <v>2.2333783168853198</v>
      </c>
      <c r="R24" t="s">
        <v>10</v>
      </c>
      <c r="S24">
        <f>(240.805202635744+239.267928598614+227.74990568355+268.920319597316+250.518225246621+235.450193941807+235.599383789674+245.342342545497+261.581036920066+238.716402730667+234.022870806635+250.854580034361+254.266144025518+257.455937586134+239.248416674503+237.629027871331+251.087743566352+245.271707621285+243.380117782253+253.190767404565)/20</f>
        <v>245.51791275312468</v>
      </c>
      <c r="U24" t="s">
        <v>17</v>
      </c>
      <c r="V24">
        <f>(505.481442522067)/5</f>
        <v>101.09628850441341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Rusqi</dc:creator>
  <cp:lastModifiedBy>Muhammad Rusqi</cp:lastModifiedBy>
  <dcterms:created xsi:type="dcterms:W3CDTF">2025-05-04T08:55:28Z</dcterms:created>
  <dcterms:modified xsi:type="dcterms:W3CDTF">2025-05-08T10:29:07Z</dcterms:modified>
</cp:coreProperties>
</file>