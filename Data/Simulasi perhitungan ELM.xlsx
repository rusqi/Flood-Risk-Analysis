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sqi\Kuliah\SKRIPSI\Data\"/>
    </mc:Choice>
  </mc:AlternateContent>
  <xr:revisionPtr revIDLastSave="0" documentId="13_ncr:1_{F922CEA6-7FF2-48C1-8C7A-D561A4A3A4B0}" xr6:coauthVersionLast="47" xr6:coauthVersionMax="47" xr10:uidLastSave="{00000000-0000-0000-0000-000000000000}"/>
  <bookViews>
    <workbookView xWindow="-108" yWindow="-108" windowWidth="23256" windowHeight="12576" activeTab="2" xr2:uid="{21DB6067-0B7E-431D-8D5C-A43551F993ED}"/>
  </bookViews>
  <sheets>
    <sheet name="Sheet1" sheetId="1" r:id="rId1"/>
    <sheet name="Sheet3" sheetId="4" r:id="rId2"/>
    <sheet name="EV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2" l="1"/>
  <c r="U26" i="2"/>
  <c r="M7" i="2"/>
  <c r="M8" i="2"/>
  <c r="M9" i="2"/>
  <c r="O34" i="2" s="1"/>
  <c r="AB90" i="1" a="1"/>
  <c r="AB90" i="1" s="1"/>
  <c r="AA90" i="1" a="1"/>
  <c r="AA90" i="1" s="1"/>
  <c r="AB43" i="1" a="1"/>
  <c r="AB43" i="1" s="1"/>
  <c r="W54" i="1" s="1" a="1"/>
  <c r="W54" i="1" s="1"/>
  <c r="I58" i="1" a="1"/>
  <c r="I58" i="1" s="1"/>
  <c r="N57" i="1"/>
  <c r="N58" i="1" s="1"/>
  <c r="AA82" i="1"/>
  <c r="U31" i="1"/>
  <c r="U32" i="1" s="1"/>
  <c r="U33" i="1" s="1"/>
  <c r="U34" i="1" s="1"/>
  <c r="U35" i="1" s="1"/>
  <c r="AC57" i="1"/>
  <c r="AD57" i="1" s="1"/>
  <c r="AE57" i="1" s="1"/>
  <c r="AF57" i="1" s="1"/>
  <c r="AG57" i="1" s="1"/>
  <c r="AC42" i="1"/>
  <c r="AD42" i="1" s="1"/>
  <c r="AE42" i="1" s="1"/>
  <c r="AF42" i="1" s="1"/>
  <c r="AG42" i="1" s="1"/>
  <c r="V55" i="1"/>
  <c r="V56" i="1" s="1"/>
  <c r="N48" i="1"/>
  <c r="N49" i="1" s="1"/>
  <c r="Q43" i="1"/>
  <c r="P43" i="1"/>
  <c r="O43" i="1"/>
  <c r="N38" i="1"/>
  <c r="N39" i="1" s="1"/>
  <c r="O31" i="1"/>
  <c r="P37" i="1" s="1" a="1"/>
  <c r="P37" i="1" s="1"/>
  <c r="O32" i="1"/>
  <c r="Q37" i="1" s="1" a="1"/>
  <c r="Q37" i="1" s="1"/>
  <c r="Q31" i="1"/>
  <c r="P39" i="1" s="1" a="1"/>
  <c r="P39" i="1" s="1"/>
  <c r="Q32" i="1"/>
  <c r="Q39" i="1" s="1" a="1"/>
  <c r="Q39" i="1" s="1"/>
  <c r="P31" i="1"/>
  <c r="P38" i="1" s="1" a="1"/>
  <c r="P38" i="1" s="1"/>
  <c r="P32" i="1"/>
  <c r="Q38" i="1" s="1" a="1"/>
  <c r="Q38" i="1" s="1"/>
  <c r="P30" i="1"/>
  <c r="Q30" i="1"/>
  <c r="O30" i="1"/>
  <c r="O37" i="1" s="1" a="1"/>
  <c r="O37" i="1" s="1"/>
  <c r="N31" i="1"/>
  <c r="N32" i="1" s="1"/>
  <c r="K38" i="1"/>
  <c r="K39" i="1"/>
  <c r="J38" i="1"/>
  <c r="J39" i="1"/>
  <c r="K33" i="1"/>
  <c r="K34" i="1"/>
  <c r="K35" i="1"/>
  <c r="K36" i="1"/>
  <c r="K37" i="1"/>
  <c r="K32" i="1"/>
  <c r="J34" i="1"/>
  <c r="J35" i="1"/>
  <c r="J36" i="1"/>
  <c r="J37" i="1"/>
  <c r="J32" i="1"/>
  <c r="J33" i="1"/>
  <c r="J31" i="1"/>
  <c r="O11" i="2" l="1"/>
  <c r="O12" i="2"/>
  <c r="O36" i="2"/>
  <c r="O15" i="2"/>
  <c r="O42" i="2"/>
  <c r="O18" i="2"/>
  <c r="O8" i="2"/>
  <c r="O21" i="2"/>
  <c r="O9" i="2"/>
  <c r="O20" i="2"/>
  <c r="O14" i="2"/>
  <c r="O10" i="2"/>
  <c r="O26" i="2"/>
  <c r="O28" i="2"/>
  <c r="O41" i="2"/>
  <c r="O19" i="2"/>
  <c r="O27" i="2"/>
  <c r="O35" i="2"/>
  <c r="O43" i="2"/>
  <c r="O13" i="2"/>
  <c r="O23" i="2"/>
  <c r="O29" i="2"/>
  <c r="O37" i="2"/>
  <c r="O30" i="2"/>
  <c r="O38" i="2"/>
  <c r="O22" i="2"/>
  <c r="O31" i="2"/>
  <c r="O39" i="2"/>
  <c r="O16" i="2"/>
  <c r="O24" i="2"/>
  <c r="O32" i="2"/>
  <c r="O40" i="2"/>
  <c r="O17" i="2"/>
  <c r="O25" i="2"/>
  <c r="O33" i="2"/>
  <c r="V30" i="1"/>
  <c r="AB81" i="1"/>
  <c r="AC82" i="1"/>
  <c r="AC81" i="1"/>
  <c r="V31" i="1"/>
  <c r="X33" i="1"/>
  <c r="X35" i="1"/>
  <c r="V34" i="1"/>
  <c r="X31" i="1"/>
  <c r="V32" i="1"/>
  <c r="V33" i="1"/>
  <c r="W35" i="1"/>
  <c r="W33" i="1"/>
  <c r="W31" i="1"/>
  <c r="V35" i="1"/>
  <c r="X34" i="1"/>
  <c r="X32" i="1"/>
  <c r="X30" i="1"/>
  <c r="W34" i="1"/>
  <c r="W32" i="1"/>
  <c r="W30" i="1"/>
  <c r="W61" i="1" a="1"/>
  <c r="W61" i="1" s="1"/>
  <c r="AB58" i="1" s="1" a="1"/>
  <c r="AB58" i="1" s="1"/>
  <c r="AD66" i="1" s="1" a="1"/>
  <c r="AD66" i="1" s="1"/>
  <c r="O39" i="1" a="1"/>
  <c r="O39" i="1" s="1"/>
  <c r="O38" i="1" a="1"/>
  <c r="O38" i="1" s="1"/>
  <c r="AA50" i="1" l="1" a="1"/>
  <c r="AA50" i="1" s="1"/>
  <c r="AF81" i="1" l="1" a="1"/>
  <c r="AF8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<sst xmlns="http://schemas.openxmlformats.org/spreadsheetml/2006/main" count="109" uniqueCount="89">
  <si>
    <t>Tanggal</t>
  </si>
  <si>
    <t>RR</t>
  </si>
  <si>
    <t>Keterangan :</t>
  </si>
  <si>
    <t>RR: Curah hujan (mm)</t>
  </si>
  <si>
    <t>1. Data dipisahkan menjadi 80% untuk pelatihan dan 20% untuk pengujian</t>
  </si>
  <si>
    <t>Data Pengujian (20%)</t>
  </si>
  <si>
    <t>Data Pelatihan (80%)</t>
  </si>
  <si>
    <t>RR-1</t>
  </si>
  <si>
    <t>RR-2</t>
  </si>
  <si>
    <t>2. Siapkan data untuk simulasi ELM</t>
  </si>
  <si>
    <t>Weight</t>
  </si>
  <si>
    <t>3. Menentukan Matriks bobot mengunakan rumus =RAND()*2-1</t>
  </si>
  <si>
    <t>Matriks bobot dan bias secara acak di tentukan dengan nilai antara -1 dan 1</t>
  </si>
  <si>
    <t>4. Menentukan Matriks Transpose menggunakan rumus =TRANSPOSE(range)</t>
  </si>
  <si>
    <t>5. Menentukan Matriks Bias menggunakan rumus =RAND()*2-1</t>
  </si>
  <si>
    <t>dimana RR-1 adalah sehari sebelum</t>
  </si>
  <si>
    <t>H(init)</t>
  </si>
  <si>
    <t>Matriks Transpose (contoh)</t>
  </si>
  <si>
    <t>Bias (contoh)</t>
  </si>
  <si>
    <t>6. Proses simulasi pelatihan menggunakan rumus Hinit i,j = (X WT)i,j + bi</t>
  </si>
  <si>
    <t>7. karena menggunakan fungsi aktivasi linear saya tidak perlu mengubah matriks inisialisasi</t>
  </si>
  <si>
    <t>Matriks Tranpose</t>
  </si>
  <si>
    <t>8. Menghitung Moore-Penrose generalized inverse</t>
  </si>
  <si>
    <t xml:space="preserve"> </t>
  </si>
  <si>
    <t>HT H</t>
  </si>
  <si>
    <t>9. Menghitung Inversenya</t>
  </si>
  <si>
    <t>(HT H)-1</t>
  </si>
  <si>
    <t>10. Mengecek Inverse</t>
  </si>
  <si>
    <t>Sudah mendekati matriks identitas sehingga sudah benar</t>
  </si>
  <si>
    <t>11. Kalikan invers Moore-Penrose dengan Matriks Tranpose H(init)</t>
  </si>
  <si>
    <t>H+</t>
  </si>
  <si>
    <t>H(x)uji</t>
  </si>
  <si>
    <t>Beta</t>
  </si>
  <si>
    <t>Beta(uji)</t>
  </si>
  <si>
    <t>13. Menghitung proses pengujian</t>
  </si>
  <si>
    <t>nilai ini menjelaskan prediksi pada tanggal 1/9/2022</t>
  </si>
  <si>
    <t>nilai ini menjelaskan prediksi pada tanggal 1/10/2022</t>
  </si>
  <si>
    <t>14. Menghitung akurasi dengan MAE dan MSE</t>
  </si>
  <si>
    <t>MSE</t>
  </si>
  <si>
    <t>MAE</t>
  </si>
  <si>
    <t>Bulan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</si>
  <si>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</si>
  <si>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</si>
  <si>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</si>
  <si>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</si>
  <si>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</si>
  <si>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</si>
  <si>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</si>
  <si>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</si>
  <si>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</si>
  <si>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</si>
  <si>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</si>
  <si>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</si>
  <si>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</si>
  <si>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</si>
  <si>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</si>
  <si>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</si>
  <si>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</si>
  <si>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</si>
  <si>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</si>
  <si>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</si>
  <si>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</si>
  <si>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</si>
  <si>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</si>
  <si>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</si>
  <si>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</si>
  <si>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</si>
  <si>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</si>
  <si>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</si>
  <si>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</si>
  <si>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</si>
  <si>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</si>
  <si>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</si>
  <si>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</si>
  <si>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</si>
  <si>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</si>
  <si>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</si>
  <si>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1. Dataset curah hujan 2022-2024</t>
  </si>
  <si>
    <t>2. Dipisahkan perblok dengan tiap bulan nilai maksimumnya</t>
  </si>
  <si>
    <t>RR (mm)</t>
  </si>
  <si>
    <t>xi</t>
  </si>
  <si>
    <t>std deviasi</t>
  </si>
  <si>
    <t>mu</t>
  </si>
  <si>
    <t>MLE</t>
  </si>
  <si>
    <t>A</t>
  </si>
  <si>
    <t>-</t>
  </si>
  <si>
    <t>x`</t>
  </si>
  <si>
    <t>12. Menghitung Beta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</si>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</sst>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5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4" borderId="3" xfId="0" applyFill="1" applyBorder="1" applyAlignment="1">
      <alignment horizontal="center" vertical="center"/>
    </xf>
    <xf numFmtId="2" fontId="0" fillId="2" borderId="3" xfId="0" applyNumberFormat="1" applyFill="1" applyBorder="1"/>
    <xf numFmtId="164" fontId="0" fillId="2" borderId="3" xfId="0" applyNumberFormat="1" applyFill="1" applyBorder="1"/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0" fillId="11" borderId="1" xfId="0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3" fillId="13" borderId="1" xfId="1" applyFill="1" applyBorder="1" applyAlignment="1">
      <alignment horizontal="center" vertical="top" wrapText="1"/>
    </xf>
    <xf numFmtId="0" fontId="3" fillId="14" borderId="1" xfId="1" applyFill="1" applyBorder="1" applyAlignment="1">
      <alignment horizontal="center" vertical="top" wrapText="1"/>
    </xf>
    <xf numFmtId="0" fontId="3" fillId="15" borderId="1" xfId="1" applyFill="1" applyBorder="1" applyAlignment="1">
      <alignment horizontal="center" vertical="top" wrapText="1"/>
    </xf>
    <xf numFmtId="0" fontId="3" fillId="16" borderId="1" xfId="1" applyFill="1" applyBorder="1" applyAlignment="1">
      <alignment horizontal="center" vertical="top" wrapText="1"/>
    </xf>
    <xf numFmtId="0" fontId="0" fillId="17" borderId="1" xfId="0" applyFill="1" applyBorder="1" applyAlignment="1">
      <alignment horizontal="center" vertical="top" wrapText="1"/>
    </xf>
    <xf numFmtId="0" fontId="0" fillId="18" borderId="1" xfId="0" applyFill="1" applyBorder="1" applyAlignment="1">
      <alignment horizontal="center" vertical="top" wrapText="1"/>
    </xf>
    <xf numFmtId="0" fontId="3" fillId="19" borderId="1" xfId="1" applyFill="1" applyBorder="1" applyAlignment="1">
      <alignment horizontal="center" vertical="top" wrapText="1"/>
    </xf>
    <xf numFmtId="0" fontId="3" fillId="20" borderId="1" xfId="1" applyFill="1" applyBorder="1" applyAlignment="1">
      <alignment horizontal="center" vertical="top" wrapText="1"/>
    </xf>
    <xf numFmtId="0" fontId="0" fillId="21" borderId="1" xfId="0" applyFill="1" applyBorder="1" applyAlignment="1">
      <alignment horizontal="center" vertical="top" wrapText="1"/>
    </xf>
    <xf numFmtId="0" fontId="3" fillId="22" borderId="1" xfId="1" applyFill="1" applyBorder="1" applyAlignment="1">
      <alignment horizontal="center" vertical="top" wrapText="1"/>
    </xf>
    <xf numFmtId="0" fontId="3" fillId="23" borderId="1" xfId="1" applyFill="1" applyBorder="1" applyAlignment="1">
      <alignment horizontal="center" vertical="top" wrapText="1"/>
    </xf>
    <xf numFmtId="0" fontId="0" fillId="24" borderId="1" xfId="0" applyFill="1" applyBorder="1" applyAlignment="1">
      <alignment horizontal="center" vertical="top" wrapText="1"/>
    </xf>
    <xf numFmtId="0" fontId="3" fillId="2" borderId="1" xfId="1" applyFill="1" applyBorder="1" applyAlignment="1">
      <alignment horizontal="center" vertical="top" wrapText="1"/>
    </xf>
    <xf numFmtId="0" fontId="3" fillId="6" borderId="1" xfId="1" applyFill="1" applyBorder="1" applyAlignment="1">
      <alignment horizontal="center" vertical="top" wrapText="1"/>
    </xf>
    <xf numFmtId="0" fontId="3" fillId="7" borderId="1" xfId="1" applyFill="1" applyBorder="1" applyAlignment="1">
      <alignment horizontal="center" vertical="top" wrapText="1"/>
    </xf>
    <xf numFmtId="0" fontId="3" fillId="8" borderId="1" xfId="1" applyFill="1" applyBorder="1" applyAlignment="1">
      <alignment horizontal="center" vertical="top" wrapText="1"/>
    </xf>
    <xf numFmtId="0" fontId="3" fillId="11" borderId="1" xfId="1" applyFill="1" applyBorder="1" applyAlignment="1">
      <alignment horizontal="center" vertical="top" wrapText="1"/>
    </xf>
    <xf numFmtId="0" fontId="3" fillId="12" borderId="1" xfId="1" applyFill="1" applyBorder="1" applyAlignment="1">
      <alignment horizontal="center" vertical="top" wrapText="1"/>
    </xf>
    <xf numFmtId="0" fontId="3" fillId="17" borderId="1" xfId="1" applyFill="1" applyBorder="1" applyAlignment="1">
      <alignment horizontal="center" vertical="top" wrapText="1"/>
    </xf>
    <xf numFmtId="0" fontId="3" fillId="18" borderId="1" xfId="1" applyFill="1" applyBorder="1" applyAlignment="1">
      <alignment horizontal="center" vertical="top" wrapText="1"/>
    </xf>
    <xf numFmtId="14" fontId="0" fillId="2" borderId="5" xfId="0" applyNumberFormat="1" applyFill="1" applyBorder="1" applyAlignment="1">
      <alignment horizontal="left" vertical="top" wrapText="1"/>
    </xf>
    <xf numFmtId="0" fontId="3" fillId="20" borderId="5" xfId="1" applyFill="1" applyBorder="1" applyAlignment="1">
      <alignment horizontal="center" vertical="top" wrapText="1"/>
    </xf>
    <xf numFmtId="14" fontId="0" fillId="2" borderId="3" xfId="0" applyNumberFormat="1" applyFill="1" applyBorder="1" applyAlignment="1">
      <alignment horizontal="left" vertical="top" wrapText="1"/>
    </xf>
    <xf numFmtId="0" fontId="0" fillId="20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0" borderId="0" xfId="0" applyNumberFormat="1"/>
    <xf numFmtId="0" fontId="0" fillId="5" borderId="3" xfId="0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2" borderId="8" xfId="0" applyNumberFormat="1" applyFill="1" applyBorder="1"/>
    <xf numFmtId="165" fontId="0" fillId="2" borderId="3" xfId="0" applyNumberFormat="1" applyFill="1" applyBorder="1"/>
    <xf numFmtId="166" fontId="0" fillId="2" borderId="3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B0E1502B-84D4-4D32-84BA-CA88883E1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60</xdr:row>
      <xdr:rowOff>0</xdr:rowOff>
    </xdr:from>
    <xdr:to>
      <xdr:col>7</xdr:col>
      <xdr:colOff>0</xdr:colOff>
      <xdr:row>60</xdr:row>
      <xdr:rowOff>160020</xdr:rowOff>
    </xdr:to>
    <xdr:pic>
      <xdr:nvPicPr>
        <xdr:cNvPr id="1207" name="Picture 183">
          <a:extLst>
            <a:ext uri="{FF2B5EF4-FFF2-40B4-BE49-F238E27FC236}">
              <a16:creationId xmlns:a16="http://schemas.microsoft.com/office/drawing/2014/main" id="{BCD84BC3-7BBC-49BD-D2DF-E689164E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097280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0</xdr:colOff>
      <xdr:row>60</xdr:row>
      <xdr:rowOff>160020</xdr:rowOff>
    </xdr:to>
    <xdr:pic>
      <xdr:nvPicPr>
        <xdr:cNvPr id="1208" name="Picture 184">
          <a:extLst>
            <a:ext uri="{FF2B5EF4-FFF2-40B4-BE49-F238E27FC236}">
              <a16:creationId xmlns:a16="http://schemas.microsoft.com/office/drawing/2014/main" id="{28D358D0-5F65-DBF6-01B3-CFFB0F698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097280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0</xdr:colOff>
      <xdr:row>60</xdr:row>
      <xdr:rowOff>160020</xdr:rowOff>
    </xdr:to>
    <xdr:pic>
      <xdr:nvPicPr>
        <xdr:cNvPr id="1209" name="Picture 185">
          <a:extLst>
            <a:ext uri="{FF2B5EF4-FFF2-40B4-BE49-F238E27FC236}">
              <a16:creationId xmlns:a16="http://schemas.microsoft.com/office/drawing/2014/main" id="{9E6EB5D4-EA26-88CC-6151-BA384DA7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097280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0</xdr:colOff>
      <xdr:row>61</xdr:row>
      <xdr:rowOff>160020</xdr:rowOff>
    </xdr:to>
    <xdr:pic>
      <xdr:nvPicPr>
        <xdr:cNvPr id="1210" name="Picture 186">
          <a:extLst>
            <a:ext uri="{FF2B5EF4-FFF2-40B4-BE49-F238E27FC236}">
              <a16:creationId xmlns:a16="http://schemas.microsoft.com/office/drawing/2014/main" id="{989C48FF-6DE0-58AC-EFC3-DFCF4904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15568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0</xdr:colOff>
      <xdr:row>61</xdr:row>
      <xdr:rowOff>160020</xdr:rowOff>
    </xdr:to>
    <xdr:pic>
      <xdr:nvPicPr>
        <xdr:cNvPr id="1211" name="Picture 187">
          <a:extLst>
            <a:ext uri="{FF2B5EF4-FFF2-40B4-BE49-F238E27FC236}">
              <a16:creationId xmlns:a16="http://schemas.microsoft.com/office/drawing/2014/main" id="{763323C4-71A3-91FB-79E8-0A08EB02F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15568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0</xdr:colOff>
      <xdr:row>61</xdr:row>
      <xdr:rowOff>160020</xdr:rowOff>
    </xdr:to>
    <xdr:pic>
      <xdr:nvPicPr>
        <xdr:cNvPr id="1212" name="Picture 188">
          <a:extLst>
            <a:ext uri="{FF2B5EF4-FFF2-40B4-BE49-F238E27FC236}">
              <a16:creationId xmlns:a16="http://schemas.microsoft.com/office/drawing/2014/main" id="{4D73D030-9C2C-9EFC-7E00-BA02C059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15568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0</xdr:colOff>
      <xdr:row>62</xdr:row>
      <xdr:rowOff>160020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839D9A5D-2157-BF38-822E-9AA1672C3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33856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0</xdr:colOff>
      <xdr:row>62</xdr:row>
      <xdr:rowOff>160020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8491C439-EA03-B562-76D5-B5520AE1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33856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0</xdr:colOff>
      <xdr:row>62</xdr:row>
      <xdr:rowOff>160020</xdr:rowOff>
    </xdr:to>
    <xdr:pic>
      <xdr:nvPicPr>
        <xdr:cNvPr id="1215" name="Picture 191">
          <a:extLst>
            <a:ext uri="{FF2B5EF4-FFF2-40B4-BE49-F238E27FC236}">
              <a16:creationId xmlns:a16="http://schemas.microsoft.com/office/drawing/2014/main" id="{E6815123-473B-7616-C602-C6248BB9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11338560"/>
          <a:ext cx="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BB0C-F9C6-4137-85CF-9084C0582C61}">
  <dimension ref="D5:AK90"/>
  <sheetViews>
    <sheetView zoomScale="97" zoomScaleNormal="130" workbookViewId="0">
      <selection activeCell="C27" sqref="C27"/>
    </sheetView>
  </sheetViews>
  <sheetFormatPr defaultRowHeight="14.4" x14ac:dyDescent="0.3"/>
  <cols>
    <col min="4" max="4" width="10.21875" bestFit="1" customWidth="1"/>
    <col min="5" max="5" width="9" bestFit="1" customWidth="1"/>
    <col min="8" max="8" width="31.33203125" bestFit="1" customWidth="1"/>
    <col min="9" max="11" width="9" bestFit="1" customWidth="1"/>
    <col min="14" max="14" width="9" bestFit="1" customWidth="1"/>
    <col min="15" max="15" width="13.33203125" bestFit="1" customWidth="1"/>
    <col min="16" max="16" width="12.6640625" bestFit="1" customWidth="1"/>
    <col min="17" max="17" width="13.44140625" bestFit="1" customWidth="1"/>
    <col min="21" max="21" width="9.77734375" bestFit="1" customWidth="1"/>
    <col min="22" max="22" width="9.109375" bestFit="1" customWidth="1"/>
    <col min="23" max="23" width="15.44140625" bestFit="1" customWidth="1"/>
    <col min="24" max="24" width="10.33203125" bestFit="1" customWidth="1"/>
    <col min="25" max="25" width="15.44140625" bestFit="1" customWidth="1"/>
    <col min="26" max="26" width="9" bestFit="1" customWidth="1"/>
    <col min="27" max="27" width="19.44140625" customWidth="1"/>
    <col min="28" max="28" width="16.88671875" bestFit="1" customWidth="1"/>
    <col min="29" max="29" width="15.77734375" bestFit="1" customWidth="1"/>
    <col min="30" max="30" width="23.44140625" bestFit="1" customWidth="1"/>
    <col min="31" max="33" width="11.33203125" bestFit="1" customWidth="1"/>
    <col min="34" max="34" width="9" bestFit="1" customWidth="1"/>
    <col min="35" max="35" width="9.21875" bestFit="1" customWidth="1"/>
  </cols>
  <sheetData>
    <row r="5" spans="4:14" x14ac:dyDescent="0.3">
      <c r="D5" s="3" t="s">
        <v>0</v>
      </c>
      <c r="E5" s="3" t="s">
        <v>1</v>
      </c>
      <c r="G5" s="1" t="s">
        <v>2</v>
      </c>
      <c r="H5" s="1"/>
      <c r="I5" s="1"/>
    </row>
    <row r="6" spans="4:14" x14ac:dyDescent="0.3">
      <c r="D6" s="4">
        <v>44562</v>
      </c>
      <c r="E6" s="2">
        <v>36</v>
      </c>
      <c r="G6" s="1" t="s">
        <v>3</v>
      </c>
      <c r="H6" s="1"/>
      <c r="I6" s="1"/>
    </row>
    <row r="7" spans="4:14" x14ac:dyDescent="0.3">
      <c r="D7" s="4">
        <v>44563</v>
      </c>
      <c r="E7" s="2">
        <v>59.4</v>
      </c>
    </row>
    <row r="8" spans="4:14" x14ac:dyDescent="0.3">
      <c r="D8" s="4">
        <v>44564</v>
      </c>
      <c r="E8" s="2">
        <v>3.5</v>
      </c>
    </row>
    <row r="9" spans="4:14" x14ac:dyDescent="0.3">
      <c r="D9" s="4">
        <v>44565</v>
      </c>
      <c r="E9" s="2">
        <v>1.7</v>
      </c>
    </row>
    <row r="10" spans="4:14" x14ac:dyDescent="0.3">
      <c r="D10" s="4">
        <v>44566</v>
      </c>
      <c r="E10" s="2">
        <v>99.5</v>
      </c>
    </row>
    <row r="11" spans="4:14" x14ac:dyDescent="0.3">
      <c r="D11" s="4">
        <v>44567</v>
      </c>
      <c r="E11" s="2">
        <v>0</v>
      </c>
      <c r="H11" s="72" t="s">
        <v>4</v>
      </c>
      <c r="I11" s="72"/>
      <c r="J11" s="72"/>
      <c r="K11" s="72"/>
      <c r="L11" s="72"/>
      <c r="M11" s="72"/>
      <c r="N11" s="72"/>
    </row>
    <row r="12" spans="4:14" x14ac:dyDescent="0.3">
      <c r="D12" s="4">
        <v>44568</v>
      </c>
      <c r="E12" s="2">
        <v>30.6</v>
      </c>
    </row>
    <row r="13" spans="4:14" x14ac:dyDescent="0.3">
      <c r="D13" s="4">
        <v>44569</v>
      </c>
      <c r="E13" s="2">
        <v>0</v>
      </c>
      <c r="H13" s="3" t="s">
        <v>0</v>
      </c>
      <c r="I13" s="3" t="s">
        <v>1</v>
      </c>
      <c r="J13" s="73" t="s">
        <v>6</v>
      </c>
      <c r="K13" s="74"/>
    </row>
    <row r="14" spans="4:14" x14ac:dyDescent="0.3">
      <c r="D14" s="4">
        <v>44570</v>
      </c>
      <c r="E14" s="2">
        <v>23</v>
      </c>
      <c r="H14" s="4">
        <v>44562</v>
      </c>
      <c r="I14" s="2">
        <v>36</v>
      </c>
    </row>
    <row r="15" spans="4:14" x14ac:dyDescent="0.3">
      <c r="D15" s="4">
        <v>44571</v>
      </c>
      <c r="E15" s="2">
        <v>8</v>
      </c>
      <c r="H15" s="4">
        <v>44563</v>
      </c>
      <c r="I15" s="2">
        <v>59.4</v>
      </c>
    </row>
    <row r="16" spans="4:14" x14ac:dyDescent="0.3">
      <c r="H16" s="4">
        <v>44564</v>
      </c>
      <c r="I16" s="2">
        <v>3.5</v>
      </c>
    </row>
    <row r="17" spans="8:27" x14ac:dyDescent="0.3">
      <c r="H17" s="4">
        <v>44565</v>
      </c>
      <c r="I17" s="2">
        <v>1.7</v>
      </c>
    </row>
    <row r="18" spans="8:27" x14ac:dyDescent="0.3">
      <c r="H18" s="4">
        <v>44566</v>
      </c>
      <c r="I18" s="2">
        <v>99.5</v>
      </c>
    </row>
    <row r="19" spans="8:27" x14ac:dyDescent="0.3">
      <c r="H19" s="4">
        <v>44567</v>
      </c>
      <c r="I19" s="2">
        <v>0</v>
      </c>
    </row>
    <row r="20" spans="8:27" x14ac:dyDescent="0.3">
      <c r="H20" s="4">
        <v>44568</v>
      </c>
      <c r="I20" s="2">
        <v>30.6</v>
      </c>
    </row>
    <row r="21" spans="8:27" x14ac:dyDescent="0.3">
      <c r="H21" s="4">
        <v>44569</v>
      </c>
      <c r="I21" s="2">
        <v>0</v>
      </c>
    </row>
    <row r="23" spans="8:27" x14ac:dyDescent="0.3">
      <c r="H23" s="3" t="s">
        <v>0</v>
      </c>
      <c r="I23" s="3" t="s">
        <v>1</v>
      </c>
      <c r="J23" s="73" t="s">
        <v>5</v>
      </c>
      <c r="K23" s="74"/>
    </row>
    <row r="24" spans="8:27" x14ac:dyDescent="0.3">
      <c r="H24" s="4">
        <v>44570</v>
      </c>
      <c r="I24" s="2">
        <v>23</v>
      </c>
    </row>
    <row r="25" spans="8:27" x14ac:dyDescent="0.3">
      <c r="H25" s="4">
        <v>44571</v>
      </c>
      <c r="I25" s="2">
        <v>8</v>
      </c>
    </row>
    <row r="27" spans="8:27" x14ac:dyDescent="0.3">
      <c r="H27" t="s">
        <v>9</v>
      </c>
      <c r="N27" s="72" t="s">
        <v>11</v>
      </c>
      <c r="O27" s="72"/>
      <c r="P27" s="72"/>
      <c r="Q27" s="72"/>
      <c r="R27" s="72"/>
      <c r="U27" s="72" t="s">
        <v>19</v>
      </c>
      <c r="V27" s="72"/>
      <c r="W27" s="72"/>
      <c r="X27" s="72"/>
      <c r="Y27" s="72"/>
      <c r="Z27" s="72"/>
      <c r="AA27" s="72"/>
    </row>
    <row r="28" spans="8:27" x14ac:dyDescent="0.3">
      <c r="H28" t="s">
        <v>15</v>
      </c>
      <c r="N28" s="72" t="s">
        <v>12</v>
      </c>
      <c r="O28" s="72"/>
      <c r="P28" s="72"/>
      <c r="Q28" s="72"/>
      <c r="R28" s="72"/>
      <c r="S28" s="72"/>
    </row>
    <row r="29" spans="8:27" x14ac:dyDescent="0.3">
      <c r="H29" s="3" t="s">
        <v>0</v>
      </c>
      <c r="I29" s="6" t="s">
        <v>1</v>
      </c>
      <c r="J29" s="6" t="s">
        <v>7</v>
      </c>
      <c r="K29" s="6" t="s">
        <v>8</v>
      </c>
      <c r="N29" s="3" t="s">
        <v>10</v>
      </c>
      <c r="O29" s="6">
        <v>1</v>
      </c>
      <c r="P29" s="6">
        <v>2</v>
      </c>
      <c r="Q29" s="6">
        <v>3</v>
      </c>
      <c r="U29" s="3" t="s">
        <v>16</v>
      </c>
      <c r="V29" s="6">
        <v>1</v>
      </c>
      <c r="W29" s="6">
        <v>2</v>
      </c>
      <c r="X29" s="6">
        <v>3</v>
      </c>
    </row>
    <row r="30" spans="8:27" x14ac:dyDescent="0.3">
      <c r="H30" s="5">
        <v>44562</v>
      </c>
      <c r="I30" s="7">
        <v>36</v>
      </c>
      <c r="J30" s="8" t="s">
        <v>85</v>
      </c>
      <c r="K30" s="8" t="s">
        <v>85</v>
      </c>
      <c r="N30" s="9">
        <v>1</v>
      </c>
      <c r="O30" s="10">
        <f ca="1">RAND()*2-1</f>
        <v>4.0043165504364042E-2</v>
      </c>
      <c r="P30" s="10">
        <f t="shared" ref="P30:Q32" ca="1" si="0">RAND()*2-1</f>
        <v>-0.2955179507123129</v>
      </c>
      <c r="Q30" s="10">
        <f t="shared" ca="1" si="0"/>
        <v>-0.82230379051369451</v>
      </c>
      <c r="U30" s="9">
        <v>1</v>
      </c>
      <c r="V30" s="10">
        <f>(I32*O47+J32*P47+K32*Q47)+O52</f>
        <v>16.712164805628031</v>
      </c>
      <c r="W30" s="11">
        <f>(I32*O48+J32*P48+K32*Q48)+P52</f>
        <v>7.1985944421607675</v>
      </c>
      <c r="X30" s="11">
        <f>(I32*O49+J32*P49+K32*Q49)+Q52</f>
        <v>11.633949756326732</v>
      </c>
    </row>
    <row r="31" spans="8:27" x14ac:dyDescent="0.3">
      <c r="H31" s="5">
        <v>44563</v>
      </c>
      <c r="I31" s="7">
        <v>59.4</v>
      </c>
      <c r="J31" s="8">
        <f>I30</f>
        <v>36</v>
      </c>
      <c r="K31" s="8" t="s">
        <v>85</v>
      </c>
      <c r="N31" s="9">
        <f>1+N30</f>
        <v>2</v>
      </c>
      <c r="O31" s="10">
        <f t="shared" ref="O31:O32" ca="1" si="1">RAND()*2-1</f>
        <v>-0.30768624941288736</v>
      </c>
      <c r="P31" s="10">
        <f t="shared" ca="1" si="0"/>
        <v>-0.57070381503372092</v>
      </c>
      <c r="Q31" s="10">
        <f t="shared" ca="1" si="0"/>
        <v>6.5382932115696235E-2</v>
      </c>
      <c r="U31" s="9">
        <f>1+U30</f>
        <v>2</v>
      </c>
      <c r="V31" s="10">
        <f>(I33*O47+J33*P47+K33*Q47)+O52</f>
        <v>56.628098472153567</v>
      </c>
      <c r="W31" s="11">
        <f>(I33*O48+J33*P48+K33*Q48)+P52</f>
        <v>6.0628773300907755</v>
      </c>
      <c r="X31" s="11">
        <f>(I33*O49+J33*P49+K33*Q49)+Q52</f>
        <v>-27.320511883403906</v>
      </c>
    </row>
    <row r="32" spans="8:27" x14ac:dyDescent="0.3">
      <c r="H32" s="5">
        <v>44564</v>
      </c>
      <c r="I32" s="7">
        <v>3.5</v>
      </c>
      <c r="J32" s="8">
        <f t="shared" ref="J32:J39" si="2">I31</f>
        <v>59.4</v>
      </c>
      <c r="K32" s="8">
        <f>I30</f>
        <v>36</v>
      </c>
      <c r="N32" s="9">
        <f>1+N31</f>
        <v>3</v>
      </c>
      <c r="O32" s="10">
        <f t="shared" ca="1" si="1"/>
        <v>-0.54851366662414547</v>
      </c>
      <c r="P32" s="10">
        <f t="shared" ca="1" si="0"/>
        <v>-0.83906181540971669</v>
      </c>
      <c r="Q32" s="10">
        <f t="shared" ca="1" si="0"/>
        <v>0.79132642400685915</v>
      </c>
      <c r="U32" s="12">
        <f t="shared" ref="U32:U35" si="3">1+U31</f>
        <v>3</v>
      </c>
      <c r="V32" s="63">
        <f>(I34*O47+J34*P47+K34*Q47)+O52</f>
        <v>85.864599216884727</v>
      </c>
      <c r="W32" s="11">
        <f>(I34*O48+J34*P48+K34*Q48)+P52</f>
        <v>16.338495506277535</v>
      </c>
      <c r="X32" s="11">
        <f>(I34*O49+J34*P49+K34*Q49)+Q52</f>
        <v>7.8143795126238995</v>
      </c>
    </row>
    <row r="33" spans="8:37" x14ac:dyDescent="0.3">
      <c r="H33" s="4">
        <v>44565</v>
      </c>
      <c r="I33" s="2">
        <v>1.7</v>
      </c>
      <c r="J33" s="8">
        <f t="shared" si="2"/>
        <v>3.5</v>
      </c>
      <c r="K33" s="8">
        <f t="shared" ref="K33:K39" si="4">I31</f>
        <v>59.4</v>
      </c>
      <c r="U33" s="7">
        <f t="shared" si="3"/>
        <v>4</v>
      </c>
      <c r="V33" s="10">
        <f>(I35*O47+J35*P47+K35*Q47)+O52</f>
        <v>-32.37145233063579</v>
      </c>
      <c r="W33" s="11">
        <f>(I35*O48+J35*P48+K35*Q48)+P52</f>
        <v>5.4458355622048273</v>
      </c>
      <c r="X33" s="11">
        <f>(I35*O49+J35*P49+K35*Q49)+Q52</f>
        <v>47.760654085800915</v>
      </c>
    </row>
    <row r="34" spans="8:37" x14ac:dyDescent="0.3">
      <c r="H34" s="4">
        <v>44566</v>
      </c>
      <c r="I34" s="2">
        <v>99.5</v>
      </c>
      <c r="J34" s="8">
        <f t="shared" si="2"/>
        <v>1.7</v>
      </c>
      <c r="K34" s="8">
        <f t="shared" si="4"/>
        <v>3.5</v>
      </c>
      <c r="N34" s="72" t="s">
        <v>13</v>
      </c>
      <c r="O34" s="72"/>
      <c r="P34" s="72"/>
      <c r="Q34" s="72"/>
      <c r="R34" s="72"/>
      <c r="S34" s="72"/>
      <c r="U34" s="7">
        <f t="shared" si="3"/>
        <v>5</v>
      </c>
      <c r="V34" s="10">
        <f>(I36*O47+J36*P47+K36*Q47)+O52</f>
        <v>119.54921478357031</v>
      </c>
      <c r="W34" s="11">
        <f>(I36*O48+J36*P48+K36*Q48)+P52</f>
        <v>14.684576192923121</v>
      </c>
      <c r="X34" s="11">
        <f>(I36*O49+J36*P49+K36*Q49)+Q52</f>
        <v>-46.195897742138321</v>
      </c>
    </row>
    <row r="35" spans="8:37" x14ac:dyDescent="0.3">
      <c r="H35" s="4">
        <v>44567</v>
      </c>
      <c r="I35" s="2">
        <v>0</v>
      </c>
      <c r="J35" s="8">
        <f t="shared" si="2"/>
        <v>99.5</v>
      </c>
      <c r="K35" s="8">
        <f t="shared" si="4"/>
        <v>1.7</v>
      </c>
      <c r="U35" s="7">
        <f t="shared" si="3"/>
        <v>6</v>
      </c>
      <c r="V35" s="10">
        <f>(I37*O47+J37*P47+K37*Q47)+O52</f>
        <v>-10.056601552158465</v>
      </c>
      <c r="W35" s="11">
        <f>(I37*O48+J37*P48+K37*Q48)+P52</f>
        <v>1.3053133460179231</v>
      </c>
      <c r="X35" s="11">
        <f>(I37*O49+J37*P49+K37*Q49)+Q52</f>
        <v>14.941729627969348</v>
      </c>
    </row>
    <row r="36" spans="8:37" x14ac:dyDescent="0.3">
      <c r="H36" s="4">
        <v>44568</v>
      </c>
      <c r="I36" s="2">
        <v>30.6</v>
      </c>
      <c r="J36" s="8">
        <f t="shared" si="2"/>
        <v>0</v>
      </c>
      <c r="K36" s="8">
        <f t="shared" si="4"/>
        <v>99.5</v>
      </c>
      <c r="N36" s="3" t="s">
        <v>10</v>
      </c>
      <c r="O36" s="6">
        <v>1</v>
      </c>
      <c r="P36" s="6">
        <v>2</v>
      </c>
      <c r="Q36" s="6">
        <v>3</v>
      </c>
      <c r="U36" s="13"/>
    </row>
    <row r="37" spans="8:37" x14ac:dyDescent="0.3">
      <c r="H37" s="4">
        <v>44569</v>
      </c>
      <c r="I37" s="2">
        <v>0</v>
      </c>
      <c r="J37" s="8">
        <f t="shared" si="2"/>
        <v>30.6</v>
      </c>
      <c r="K37" s="8">
        <f t="shared" si="4"/>
        <v>0</v>
      </c>
      <c r="N37" s="9">
        <v>1</v>
      </c>
      <c r="O37" s="10" cm="1">
        <f t="array" aca="1" ref="O37" ca="1">TRANSPOSE(O30)</f>
        <v>4.0043165504364042E-2</v>
      </c>
      <c r="P37" s="10" cm="1">
        <f t="array" aca="1" ref="P37" ca="1">TRANSPOSE(O31)</f>
        <v>-0.30768624941288736</v>
      </c>
      <c r="Q37" s="10" cm="1">
        <f t="array" aca="1" ref="Q37" ca="1">TRANSPOSE(O32)</f>
        <v>-0.54851366662414547</v>
      </c>
      <c r="U37" s="13"/>
    </row>
    <row r="38" spans="8:37" x14ac:dyDescent="0.3">
      <c r="H38" s="4">
        <v>44570</v>
      </c>
      <c r="I38" s="2">
        <v>23</v>
      </c>
      <c r="J38" s="8">
        <f t="shared" si="2"/>
        <v>0</v>
      </c>
      <c r="K38" s="8">
        <f t="shared" si="4"/>
        <v>30.6</v>
      </c>
      <c r="N38" s="9">
        <f>1+N37</f>
        <v>2</v>
      </c>
      <c r="O38" s="10" cm="1">
        <f t="array" aca="1" ref="O38" ca="1">TRANSPOSE(P30)</f>
        <v>-0.2955179507123129</v>
      </c>
      <c r="P38" s="10" cm="1">
        <f t="array" aca="1" ref="P38" ca="1">TRANSPOSE(P31)</f>
        <v>-0.57070381503372092</v>
      </c>
      <c r="Q38" s="10" cm="1">
        <f t="array" aca="1" ref="Q38" ca="1">TRANSPOSE(P32)</f>
        <v>-0.83906181540971669</v>
      </c>
      <c r="U38" s="13"/>
      <c r="V38" s="13"/>
      <c r="W38" s="14"/>
      <c r="X38" s="14"/>
    </row>
    <row r="39" spans="8:37" x14ac:dyDescent="0.3">
      <c r="H39" s="4">
        <v>44571</v>
      </c>
      <c r="I39" s="2">
        <v>8</v>
      </c>
      <c r="J39" s="8">
        <f t="shared" si="2"/>
        <v>23</v>
      </c>
      <c r="K39" s="8">
        <f t="shared" si="4"/>
        <v>0</v>
      </c>
      <c r="N39" s="9">
        <f>1+N38</f>
        <v>3</v>
      </c>
      <c r="O39" s="10" cm="1">
        <f t="array" aca="1" ref="O39" ca="1">TRANSPOSE(Q30)</f>
        <v>-0.82230379051369451</v>
      </c>
      <c r="P39" s="10" cm="1">
        <f t="array" aca="1" ref="P39" ca="1">TRANSPOSE(Q31)</f>
        <v>6.5382932115696235E-2</v>
      </c>
      <c r="Q39" s="10" cm="1">
        <f t="array" aca="1" ref="Q39" ca="1">TRANSPOSE(Q32)</f>
        <v>0.79132642400685915</v>
      </c>
      <c r="U39" s="71" t="s">
        <v>20</v>
      </c>
      <c r="V39" s="71"/>
      <c r="W39" s="71"/>
      <c r="X39" s="71"/>
      <c r="Y39" s="71"/>
      <c r="Z39" s="71"/>
      <c r="AA39" s="71"/>
      <c r="AB39" s="71"/>
      <c r="AC39" s="15"/>
      <c r="AK39" t="s">
        <v>23</v>
      </c>
    </row>
    <row r="41" spans="8:37" x14ac:dyDescent="0.3">
      <c r="N41" s="72" t="s">
        <v>14</v>
      </c>
      <c r="O41" s="72"/>
      <c r="P41" s="72"/>
      <c r="Q41" s="72"/>
      <c r="R41" s="72"/>
      <c r="U41" s="3" t="s">
        <v>16</v>
      </c>
      <c r="V41" s="6">
        <v>1</v>
      </c>
      <c r="W41" s="6">
        <v>2</v>
      </c>
      <c r="X41" s="6">
        <v>3</v>
      </c>
      <c r="AA41" t="s">
        <v>21</v>
      </c>
    </row>
    <row r="42" spans="8:37" x14ac:dyDescent="0.3">
      <c r="N42" s="3" t="s">
        <v>10</v>
      </c>
      <c r="O42" s="6">
        <v>1</v>
      </c>
      <c r="P42" s="6">
        <v>2</v>
      </c>
      <c r="Q42" s="6">
        <v>3</v>
      </c>
      <c r="U42" s="9">
        <v>1</v>
      </c>
      <c r="V42" s="10">
        <v>16.712164805628031</v>
      </c>
      <c r="W42" s="10">
        <v>7.1985944421607675</v>
      </c>
      <c r="X42" s="10">
        <v>11.633949756326732</v>
      </c>
      <c r="AA42" s="16" t="s">
        <v>16</v>
      </c>
      <c r="AB42" s="19">
        <v>1</v>
      </c>
      <c r="AC42" s="19">
        <f>AB42+1</f>
        <v>2</v>
      </c>
      <c r="AD42" s="19">
        <f t="shared" ref="AD42:AG42" si="5">AC42+1</f>
        <v>3</v>
      </c>
      <c r="AE42" s="19">
        <f t="shared" si="5"/>
        <v>4</v>
      </c>
      <c r="AF42" s="67">
        <f t="shared" si="5"/>
        <v>5</v>
      </c>
      <c r="AG42" s="19">
        <f t="shared" si="5"/>
        <v>6</v>
      </c>
      <c r="AH42" s="14"/>
      <c r="AI42" s="14"/>
    </row>
    <row r="43" spans="8:37" x14ac:dyDescent="0.3">
      <c r="N43" s="9">
        <v>1</v>
      </c>
      <c r="O43" s="10">
        <f ca="1">RAND()*2-1</f>
        <v>-7.8223092778944014E-2</v>
      </c>
      <c r="P43" s="10">
        <f t="shared" ref="P43:Q43" ca="1" si="6">RAND()*2-1</f>
        <v>0.95514428491847969</v>
      </c>
      <c r="Q43" s="10">
        <f t="shared" ca="1" si="6"/>
        <v>0.50276300194597345</v>
      </c>
      <c r="U43" s="9">
        <v>2</v>
      </c>
      <c r="V43" s="10">
        <v>56.628098472153567</v>
      </c>
      <c r="W43" s="10">
        <v>6.0628773300907755</v>
      </c>
      <c r="X43" s="10">
        <v>0</v>
      </c>
      <c r="AA43" s="17">
        <v>1</v>
      </c>
      <c r="AB43" s="20" cm="1">
        <f t="array" ref="AB43:AG45">TRANSPOSE(V42:X47)</f>
        <v>16.712164805628031</v>
      </c>
      <c r="AC43" s="20">
        <v>56.628098472153567</v>
      </c>
      <c r="AD43" s="20">
        <v>85.864599216884727</v>
      </c>
      <c r="AE43" s="20">
        <v>0</v>
      </c>
      <c r="AF43" s="68">
        <v>119.54921478357031</v>
      </c>
      <c r="AG43" s="20">
        <v>0</v>
      </c>
      <c r="AH43" s="61"/>
      <c r="AI43" s="61"/>
    </row>
    <row r="44" spans="8:37" x14ac:dyDescent="0.3">
      <c r="U44" s="9">
        <v>3</v>
      </c>
      <c r="V44" s="10">
        <v>85.864599216884727</v>
      </c>
      <c r="W44" s="11">
        <v>16.338495506277535</v>
      </c>
      <c r="X44" s="11">
        <v>7.8143795126238995</v>
      </c>
      <c r="AA44" s="17">
        <v>2</v>
      </c>
      <c r="AB44" s="20">
        <v>7.1985944421607675</v>
      </c>
      <c r="AC44" s="20">
        <v>6.0628773300907755</v>
      </c>
      <c r="AD44" s="20">
        <v>16.338495506277535</v>
      </c>
      <c r="AE44" s="20">
        <v>5.4458355622048273</v>
      </c>
      <c r="AF44" s="68">
        <v>14.684576192923121</v>
      </c>
      <c r="AG44" s="20">
        <v>1.3053133460179231</v>
      </c>
      <c r="AH44" s="61"/>
      <c r="AI44" s="61"/>
    </row>
    <row r="45" spans="8:37" x14ac:dyDescent="0.3">
      <c r="N45" t="s">
        <v>17</v>
      </c>
      <c r="U45" s="9">
        <v>4</v>
      </c>
      <c r="V45" s="10">
        <v>0</v>
      </c>
      <c r="W45" s="11">
        <v>5.4458355622048273</v>
      </c>
      <c r="X45" s="11">
        <v>47.760654085800915</v>
      </c>
      <c r="AA45" s="17">
        <v>3</v>
      </c>
      <c r="AB45" s="20">
        <v>11.633949756326732</v>
      </c>
      <c r="AC45" s="20">
        <v>0</v>
      </c>
      <c r="AD45" s="20">
        <v>7.8143795126238995</v>
      </c>
      <c r="AE45" s="20">
        <v>47.760654085800915</v>
      </c>
      <c r="AF45" s="68">
        <v>0</v>
      </c>
      <c r="AG45" s="20">
        <v>14.941729627969348</v>
      </c>
      <c r="AH45" s="61"/>
      <c r="AI45" s="61"/>
    </row>
    <row r="46" spans="8:37" x14ac:dyDescent="0.3">
      <c r="N46" s="3" t="s">
        <v>10</v>
      </c>
      <c r="O46" s="6">
        <v>1</v>
      </c>
      <c r="P46" s="6">
        <v>2</v>
      </c>
      <c r="Q46" s="6">
        <v>3</v>
      </c>
      <c r="U46" s="12">
        <v>5</v>
      </c>
      <c r="V46" s="63">
        <v>119.54921478357031</v>
      </c>
      <c r="W46" s="64">
        <v>14.684576192923121</v>
      </c>
      <c r="X46" s="64">
        <v>0</v>
      </c>
    </row>
    <row r="47" spans="8:37" x14ac:dyDescent="0.3">
      <c r="N47" s="9">
        <v>1</v>
      </c>
      <c r="O47" s="10">
        <v>0.83013818385838256</v>
      </c>
      <c r="P47" s="10">
        <v>-0.3470791829695421</v>
      </c>
      <c r="Q47" s="10">
        <v>0.94053231066124909</v>
      </c>
      <c r="U47" s="7">
        <v>6</v>
      </c>
      <c r="V47" s="10">
        <v>0</v>
      </c>
      <c r="W47" s="11">
        <v>1.3053133460179231</v>
      </c>
      <c r="X47" s="11">
        <v>14.941729627969348</v>
      </c>
    </row>
    <row r="48" spans="8:37" x14ac:dyDescent="0.3">
      <c r="N48" s="9">
        <f>1+N47</f>
        <v>2</v>
      </c>
      <c r="O48" s="10">
        <v>0.16423712175868888</v>
      </c>
      <c r="P48" s="10">
        <v>5.7586217547523244E-2</v>
      </c>
      <c r="Q48" s="10">
        <v>0.10166578068385457</v>
      </c>
      <c r="U48" s="13"/>
      <c r="V48" s="65"/>
      <c r="W48" s="66"/>
      <c r="X48" s="66"/>
      <c r="AA48" t="s">
        <v>27</v>
      </c>
    </row>
    <row r="49" spans="9:33" x14ac:dyDescent="0.3">
      <c r="N49" s="9">
        <f>1+N48</f>
        <v>3</v>
      </c>
      <c r="O49" s="10">
        <v>8.7514895536517923E-2</v>
      </c>
      <c r="P49" s="10">
        <v>0.4884452093788747</v>
      </c>
      <c r="Q49" s="10">
        <v>-0.49114733433700053</v>
      </c>
      <c r="U49" s="13"/>
      <c r="V49" s="65"/>
      <c r="W49" s="66"/>
      <c r="X49" s="66"/>
      <c r="AA49" t="s">
        <v>28</v>
      </c>
    </row>
    <row r="50" spans="9:33" x14ac:dyDescent="0.3">
      <c r="N50" t="s">
        <v>18</v>
      </c>
      <c r="AA50" s="18" cm="1">
        <f t="array" ref="AA50:AC52">MMULT(W54:Y56,W61:Y63)</f>
        <v>0.99999999999999822</v>
      </c>
      <c r="AB50" s="18">
        <v>6.6613381477509392E-15</v>
      </c>
      <c r="AC50" s="18">
        <v>7.7715611723760958E-16</v>
      </c>
    </row>
    <row r="51" spans="9:33" x14ac:dyDescent="0.3">
      <c r="N51" s="3" t="s">
        <v>10</v>
      </c>
      <c r="O51" s="6">
        <v>1</v>
      </c>
      <c r="P51" s="6">
        <v>2</v>
      </c>
      <c r="Q51" s="6">
        <v>3</v>
      </c>
      <c r="U51" s="71" t="s">
        <v>22</v>
      </c>
      <c r="V51" s="71"/>
      <c r="W51" s="71"/>
      <c r="X51" s="71"/>
      <c r="Y51" s="71"/>
      <c r="Z51" s="71"/>
      <c r="AA51" s="18">
        <v>5.5511151231257827E-17</v>
      </c>
      <c r="AB51" s="18">
        <v>0.99999999999999956</v>
      </c>
      <c r="AC51" s="18">
        <v>-5.5511151231257827E-17</v>
      </c>
    </row>
    <row r="52" spans="9:33" x14ac:dyDescent="0.3">
      <c r="N52" s="9">
        <v>1</v>
      </c>
      <c r="O52" s="10">
        <v>0.5640214467095237</v>
      </c>
      <c r="P52" s="10">
        <v>-0.4568249109362883</v>
      </c>
      <c r="Q52" s="10">
        <v>-4.6937790242185251E-3</v>
      </c>
      <c r="AA52" s="18">
        <v>-2.2204460492503131E-16</v>
      </c>
      <c r="AB52" s="18">
        <v>1.7763568394002505E-15</v>
      </c>
      <c r="AC52" s="18">
        <v>0.99999999999999956</v>
      </c>
    </row>
    <row r="53" spans="9:33" x14ac:dyDescent="0.3">
      <c r="V53" s="3" t="s">
        <v>24</v>
      </c>
      <c r="W53" s="6">
        <v>1</v>
      </c>
      <c r="X53" s="6">
        <v>2</v>
      </c>
      <c r="Y53" s="6">
        <v>3</v>
      </c>
    </row>
    <row r="54" spans="9:33" x14ac:dyDescent="0.3">
      <c r="V54" s="9">
        <v>1</v>
      </c>
      <c r="W54" s="20" cm="1">
        <f t="array" ref="W54:Y56">MMULT(_xlfn.ANCHORARRAY(AB43),V42:X47)</f>
        <v>25150.782143106859</v>
      </c>
      <c r="X54" s="20">
        <v>3622.0612329060987</v>
      </c>
      <c r="Y54" s="20">
        <v>865.40705064821464</v>
      </c>
    </row>
    <row r="55" spans="9:33" x14ac:dyDescent="0.3">
      <c r="N55" s="3" t="s">
        <v>10</v>
      </c>
      <c r="O55" s="6">
        <v>1</v>
      </c>
      <c r="P55" s="6">
        <v>2</v>
      </c>
      <c r="Q55" s="6">
        <v>3</v>
      </c>
      <c r="V55" s="9">
        <f>1+V54</f>
        <v>2</v>
      </c>
      <c r="W55" s="20">
        <v>3622.0612329060987</v>
      </c>
      <c r="X55" s="20">
        <v>602.52242473871956</v>
      </c>
      <c r="Y55" s="20">
        <v>491.02359819822175</v>
      </c>
      <c r="AA55" t="s">
        <v>29</v>
      </c>
    </row>
    <row r="56" spans="9:33" x14ac:dyDescent="0.3">
      <c r="N56" s="9">
        <v>1</v>
      </c>
      <c r="O56" s="10">
        <v>0.83013818385838256</v>
      </c>
      <c r="P56" s="10">
        <v>0.16423712175868888</v>
      </c>
      <c r="Q56" s="10">
        <v>8.7514895536517923E-2</v>
      </c>
      <c r="V56" s="9">
        <f>1+V55</f>
        <v>3</v>
      </c>
      <c r="W56" s="20">
        <v>865.40705064821464</v>
      </c>
      <c r="X56" s="20">
        <v>491.02359819822175</v>
      </c>
      <c r="Y56" s="20">
        <v>2700.7486770789201</v>
      </c>
    </row>
    <row r="57" spans="9:33" x14ac:dyDescent="0.3">
      <c r="N57" s="9">
        <f>1+N56</f>
        <v>2</v>
      </c>
      <c r="O57" s="10">
        <v>-0.3470791829695421</v>
      </c>
      <c r="P57" s="10">
        <v>5.7586217547523244E-2</v>
      </c>
      <c r="Q57" s="10">
        <v>0.4884452093788747</v>
      </c>
      <c r="AA57" s="16" t="s">
        <v>30</v>
      </c>
      <c r="AB57" s="19">
        <v>1</v>
      </c>
      <c r="AC57" s="19">
        <f>AB57+1</f>
        <v>2</v>
      </c>
      <c r="AD57" s="19">
        <f t="shared" ref="AD57:AG57" si="7">AC57+1</f>
        <v>3</v>
      </c>
      <c r="AE57" s="19">
        <f t="shared" si="7"/>
        <v>4</v>
      </c>
      <c r="AF57" s="19">
        <f t="shared" si="7"/>
        <v>5</v>
      </c>
      <c r="AG57" s="19">
        <f t="shared" si="7"/>
        <v>6</v>
      </c>
    </row>
    <row r="58" spans="9:33" x14ac:dyDescent="0.3">
      <c r="I58" cm="1">
        <f t="array" ref="I58:K60">TRANSPOSE(O47:Q49)</f>
        <v>0.83013818385838256</v>
      </c>
      <c r="J58">
        <v>0.16423712175868888</v>
      </c>
      <c r="K58">
        <v>8.7514895536517923E-2</v>
      </c>
      <c r="N58" s="9">
        <f>1+N57</f>
        <v>3</v>
      </c>
      <c r="O58" s="10">
        <v>0.94053231066124909</v>
      </c>
      <c r="P58" s="10">
        <v>0.10166578068385457</v>
      </c>
      <c r="Q58" s="10">
        <v>-0.49114733433700053</v>
      </c>
      <c r="U58" s="72" t="s">
        <v>25</v>
      </c>
      <c r="V58" s="72"/>
      <c r="W58" s="72"/>
      <c r="X58" s="72"/>
      <c r="Y58" s="72"/>
      <c r="AA58" s="17">
        <v>1</v>
      </c>
      <c r="AB58" s="70" cm="1">
        <f t="array" ref="AB58:AG60">MMULT(W61:Y63,_xlfn.ANCHORARRAY(AB43))</f>
        <v>-1.4368055492359397E-2</v>
      </c>
      <c r="AC58" s="70">
        <v>1.0574983927872379E-2</v>
      </c>
      <c r="AD58" s="20">
        <v>-1.1681219306675334E-2</v>
      </c>
      <c r="AE58" s="69">
        <v>4.4125497056326062E-3</v>
      </c>
      <c r="AF58" s="70">
        <v>1.3754028390941045E-2</v>
      </c>
      <c r="AG58" s="69">
        <v>3.1918966269057015E-3</v>
      </c>
    </row>
    <row r="59" spans="9:33" x14ac:dyDescent="0.3">
      <c r="I59">
        <v>-0.3470791829695421</v>
      </c>
      <c r="J59">
        <v>5.7586217547523244E-2</v>
      </c>
      <c r="K59">
        <v>0.4884452093788747</v>
      </c>
      <c r="AA59" s="17">
        <v>2</v>
      </c>
      <c r="AB59" s="20">
        <v>0.10689684270901112</v>
      </c>
      <c r="AC59" s="70">
        <v>-5.9574350778434898E-2</v>
      </c>
      <c r="AD59" s="20">
        <v>0.1079201249245002</v>
      </c>
      <c r="AE59" s="70">
        <v>-3.6095113293008435E-2</v>
      </c>
      <c r="AF59" s="70">
        <v>-6.4236421278378641E-2</v>
      </c>
      <c r="AG59" s="70">
        <v>-2.4296724626959365E-2</v>
      </c>
    </row>
    <row r="60" spans="9:33" x14ac:dyDescent="0.3">
      <c r="I60">
        <v>0.94053231066124909</v>
      </c>
      <c r="J60">
        <v>0.10166578068385457</v>
      </c>
      <c r="K60">
        <v>-0.49114733433700053</v>
      </c>
      <c r="V60" s="3" t="s">
        <v>26</v>
      </c>
      <c r="W60" s="6">
        <v>1</v>
      </c>
      <c r="X60" s="6">
        <v>2</v>
      </c>
      <c r="Y60" s="6">
        <v>3</v>
      </c>
      <c r="AA60" s="17">
        <v>3</v>
      </c>
      <c r="AB60" s="70">
        <v>-1.052326945513047E-2</v>
      </c>
      <c r="AC60" s="69">
        <v>7.4426571411370379E-3</v>
      </c>
      <c r="AD60" s="70">
        <v>-1.2984525104190625E-2</v>
      </c>
      <c r="AE60" s="70">
        <v>2.2832763147888506E-2</v>
      </c>
      <c r="AF60" s="69">
        <v>7.2716005505522041E-3</v>
      </c>
      <c r="AG60" s="69">
        <v>8.9270449847789791E-3</v>
      </c>
    </row>
    <row r="61" spans="9:33" x14ac:dyDescent="0.3">
      <c r="V61" s="9">
        <v>1</v>
      </c>
      <c r="W61" s="21" cm="1">
        <f t="array" ref="W61:Y63">MINVERSE(W54:Y56)</f>
        <v>6.7355428415726633E-4</v>
      </c>
      <c r="X61" s="69">
        <v>-4.5468698937561154E-3</v>
      </c>
      <c r="Y61" s="21">
        <v>6.1083869197766066E-4</v>
      </c>
    </row>
    <row r="62" spans="9:33" x14ac:dyDescent="0.3">
      <c r="V62" s="9">
        <v>2</v>
      </c>
      <c r="W62" s="69">
        <v>-4.5468698937561154E-3</v>
      </c>
      <c r="X62" s="70">
        <v>3.2642297465433581E-2</v>
      </c>
      <c r="Y62" s="69">
        <v>-4.4777380409853915E-3</v>
      </c>
    </row>
    <row r="63" spans="9:33" x14ac:dyDescent="0.3">
      <c r="V63" s="9">
        <v>3</v>
      </c>
      <c r="W63" s="21">
        <v>6.1083869197766055E-4</v>
      </c>
      <c r="X63" s="69">
        <v>-4.4777380409853906E-3</v>
      </c>
      <c r="Y63" s="21">
        <v>9.8863361722179217E-4</v>
      </c>
      <c r="AA63" t="s">
        <v>87</v>
      </c>
    </row>
    <row r="65" spans="27:32" x14ac:dyDescent="0.3">
      <c r="AA65" s="3" t="s">
        <v>0</v>
      </c>
      <c r="AB65" s="3" t="s">
        <v>1</v>
      </c>
      <c r="AD65" s="6" t="s">
        <v>32</v>
      </c>
    </row>
    <row r="66" spans="27:32" x14ac:dyDescent="0.3">
      <c r="AA66" s="4">
        <v>44562</v>
      </c>
      <c r="AB66" s="2">
        <v>36</v>
      </c>
      <c r="AD66" s="20" cm="1">
        <f t="array" ref="AD66:AD68">MMULT(AB58:AG60,AB68:AB73)</f>
        <v>-0.77371877379727461</v>
      </c>
    </row>
    <row r="67" spans="27:32" x14ac:dyDescent="0.3">
      <c r="AA67" s="4">
        <v>44563</v>
      </c>
      <c r="AB67" s="2">
        <v>59.4</v>
      </c>
      <c r="AC67" t="s">
        <v>23</v>
      </c>
      <c r="AD67" s="20">
        <v>9.0452804920275831</v>
      </c>
    </row>
    <row r="68" spans="27:32" x14ac:dyDescent="0.3">
      <c r="AA68" s="4">
        <v>44564</v>
      </c>
      <c r="AB68" s="2">
        <v>3.5</v>
      </c>
      <c r="AD68" s="20">
        <v>-1.0936281969730932</v>
      </c>
    </row>
    <row r="69" spans="27:32" x14ac:dyDescent="0.3">
      <c r="AA69" s="4">
        <v>44565</v>
      </c>
      <c r="AB69" s="2">
        <v>1.7</v>
      </c>
      <c r="AD69" s="13"/>
      <c r="AE69" s="13"/>
    </row>
    <row r="70" spans="27:32" x14ac:dyDescent="0.3">
      <c r="AA70" s="4">
        <v>44566</v>
      </c>
      <c r="AB70" s="2">
        <v>99.5</v>
      </c>
      <c r="AD70" s="13"/>
      <c r="AE70" s="13"/>
    </row>
    <row r="71" spans="27:32" x14ac:dyDescent="0.3">
      <c r="AA71" s="4">
        <v>44567</v>
      </c>
      <c r="AB71" s="2">
        <v>0</v>
      </c>
      <c r="AD71" s="13"/>
      <c r="AE71" s="13"/>
    </row>
    <row r="72" spans="27:32" x14ac:dyDescent="0.3">
      <c r="AA72" s="4">
        <v>44568</v>
      </c>
      <c r="AB72" s="2">
        <v>30.6</v>
      </c>
      <c r="AD72" s="13"/>
      <c r="AE72" s="13"/>
    </row>
    <row r="73" spans="27:32" x14ac:dyDescent="0.3">
      <c r="AA73" s="4">
        <v>44569</v>
      </c>
      <c r="AB73" s="2">
        <v>0</v>
      </c>
      <c r="AD73" s="13"/>
      <c r="AE73" s="13"/>
    </row>
    <row r="75" spans="27:32" x14ac:dyDescent="0.3">
      <c r="AA75" s="71" t="s">
        <v>34</v>
      </c>
      <c r="AB75" s="71"/>
    </row>
    <row r="77" spans="27:32" x14ac:dyDescent="0.3">
      <c r="AA77" s="4">
        <v>44570</v>
      </c>
      <c r="AB77" s="2">
        <v>23</v>
      </c>
      <c r="AC77" s="8">
        <v>0</v>
      </c>
      <c r="AD77" s="8">
        <v>30.6</v>
      </c>
    </row>
    <row r="78" spans="27:32" x14ac:dyDescent="0.3">
      <c r="AA78" s="4">
        <v>44571</v>
      </c>
      <c r="AB78" s="2">
        <v>8</v>
      </c>
      <c r="AC78" s="8">
        <v>23</v>
      </c>
      <c r="AD78" s="8">
        <v>0</v>
      </c>
    </row>
    <row r="80" spans="27:32" x14ac:dyDescent="0.3">
      <c r="AA80" s="3" t="s">
        <v>31</v>
      </c>
      <c r="AB80" s="6">
        <v>1</v>
      </c>
      <c r="AC80" s="6">
        <v>2</v>
      </c>
      <c r="AD80" s="6">
        <v>3</v>
      </c>
      <c r="AF80" s="6" t="s">
        <v>33</v>
      </c>
    </row>
    <row r="81" spans="27:33" x14ac:dyDescent="0.3">
      <c r="AA81" s="9">
        <v>1</v>
      </c>
      <c r="AB81" s="10">
        <f>(AB77*O47+AC77*P47+AD77*Q47)+O52</f>
        <v>48.437488381686549</v>
      </c>
      <c r="AC81" s="7">
        <f>(AB77*O48+AC77*P48+AD77*Q48)+P52</f>
        <v>6.4316017784395063</v>
      </c>
      <c r="AD81" s="10">
        <v>0</v>
      </c>
      <c r="AF81" s="20" cm="1">
        <f t="array" ref="AF81:AF82">MMULT(AB81:AD82,AD66:AD68)</f>
        <v>20.698647982510522</v>
      </c>
      <c r="AG81" t="s">
        <v>35</v>
      </c>
    </row>
    <row r="82" spans="27:33" x14ac:dyDescent="0.3">
      <c r="AA82" s="9">
        <f>1+AA81</f>
        <v>2</v>
      </c>
      <c r="AB82" s="10">
        <v>0</v>
      </c>
      <c r="AC82" s="10">
        <f>(AB78*O48+AC78*P48+AD78*Q48)+P52</f>
        <v>2.1815550667262573</v>
      </c>
      <c r="AD82" s="10">
        <v>0</v>
      </c>
      <c r="AF82" s="20">
        <v>19.732777487342947</v>
      </c>
      <c r="AG82" t="s">
        <v>36</v>
      </c>
    </row>
    <row r="83" spans="27:33" x14ac:dyDescent="0.3">
      <c r="AG83" t="s">
        <v>84</v>
      </c>
    </row>
    <row r="84" spans="27:33" x14ac:dyDescent="0.3">
      <c r="AA84" s="4">
        <v>44570</v>
      </c>
      <c r="AB84" s="2">
        <v>23</v>
      </c>
    </row>
    <row r="85" spans="27:33" x14ac:dyDescent="0.3">
      <c r="AA85" s="4">
        <v>44571</v>
      </c>
      <c r="AB85" s="2">
        <v>8</v>
      </c>
    </row>
    <row r="87" spans="27:33" x14ac:dyDescent="0.3">
      <c r="AA87" t="s">
        <v>37</v>
      </c>
    </row>
    <row r="88" spans="27:33" x14ac:dyDescent="0.3">
      <c r="AC88" t="s">
        <v>86</v>
      </c>
    </row>
    <row r="89" spans="27:33" x14ac:dyDescent="0.3">
      <c r="AA89" s="23" t="s">
        <v>38</v>
      </c>
      <c r="AB89" s="23" t="s">
        <v>39</v>
      </c>
    </row>
    <row r="90" spans="27:33" x14ac:dyDescent="0.3">
      <c r="AA90" s="24" cm="1">
        <f t="array" ref="AA90">SUM((AB84:AB85-_xlfn.ANCHORARRAY(AF81))^2)/2</f>
        <v>71.477144337952183</v>
      </c>
      <c r="AB90" s="20" cm="1">
        <f t="array" ref="AB90">SUM(ABS(AB84:AB85-_xlfn.ANCHORARRAY(AF81))/2)</f>
        <v>7.0170647524162124</v>
      </c>
    </row>
  </sheetData>
  <mergeCells count="12">
    <mergeCell ref="AA75:AB75"/>
    <mergeCell ref="H11:N11"/>
    <mergeCell ref="J13:K13"/>
    <mergeCell ref="J23:K23"/>
    <mergeCell ref="N34:S34"/>
    <mergeCell ref="N27:R27"/>
    <mergeCell ref="N28:S28"/>
    <mergeCell ref="N41:R41"/>
    <mergeCell ref="U27:AA27"/>
    <mergeCell ref="U51:Z51"/>
    <mergeCell ref="U58:Y58"/>
    <mergeCell ref="U39:A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2A9D-3567-4640-9F68-B48FBBFDF78A}">
  <dimension ref="A1"/>
  <sheetViews>
    <sheetView topLeftCell="A3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1451-31B2-4EA7-9E61-D518A1267A2A}">
  <dimension ref="E5:U1102"/>
  <sheetViews>
    <sheetView tabSelected="1" zoomScale="68" workbookViewId="0">
      <selection activeCell="U28" sqref="U28"/>
    </sheetView>
  </sheetViews>
  <sheetFormatPr defaultRowHeight="14.4" x14ac:dyDescent="0.3"/>
  <cols>
    <col min="5" max="5" width="12.77734375" customWidth="1"/>
    <col min="12" max="12" width="9.77734375" bestFit="1" customWidth="1"/>
  </cols>
  <sheetData>
    <row r="5" spans="5:15" x14ac:dyDescent="0.3">
      <c r="E5" s="72" t="s">
        <v>77</v>
      </c>
      <c r="F5" s="72"/>
      <c r="G5" s="72"/>
      <c r="I5" s="72" t="s">
        <v>78</v>
      </c>
      <c r="J5" s="72"/>
      <c r="K5" s="72"/>
      <c r="L5" s="72"/>
      <c r="M5" s="72"/>
      <c r="N5" s="72"/>
    </row>
    <row r="6" spans="5:15" x14ac:dyDescent="0.3">
      <c r="E6" s="25" t="s">
        <v>0</v>
      </c>
      <c r="F6" s="25" t="s">
        <v>79</v>
      </c>
      <c r="I6" s="59" t="s">
        <v>40</v>
      </c>
      <c r="J6" s="59" t="s">
        <v>79</v>
      </c>
    </row>
    <row r="7" spans="5:15" x14ac:dyDescent="0.3">
      <c r="E7" s="26">
        <v>44562</v>
      </c>
      <c r="F7" s="27">
        <v>36</v>
      </c>
      <c r="I7" s="60" t="s">
        <v>41</v>
      </c>
      <c r="J7" s="60">
        <v>117</v>
      </c>
      <c r="L7" t="s">
        <v>88</v>
      </c>
      <c r="M7" s="61">
        <f>MEDIAN(J7:J42)</f>
        <v>54.5</v>
      </c>
      <c r="O7" s="62" t="s">
        <v>83</v>
      </c>
    </row>
    <row r="8" spans="5:15" x14ac:dyDescent="0.3">
      <c r="E8" s="26">
        <v>44563</v>
      </c>
      <c r="F8" s="27">
        <v>59.4</v>
      </c>
      <c r="I8" s="60" t="s">
        <v>42</v>
      </c>
      <c r="J8" s="60">
        <v>144</v>
      </c>
      <c r="L8" s="22" t="s">
        <v>82</v>
      </c>
      <c r="M8" s="61">
        <f>AVERAGE(J7:J42)</f>
        <v>67.730555555555554</v>
      </c>
      <c r="O8" s="24">
        <f>LOG(1/M9) - (1/M10 + 1) * LOG(1 + M10 * (J7 - M8)/M9) - (1 + M10 * (J7 - M8)/M9)^(-1/M10)</f>
        <v>-2.4986942813870958</v>
      </c>
    </row>
    <row r="9" spans="5:15" x14ac:dyDescent="0.3">
      <c r="E9" s="26">
        <v>44564</v>
      </c>
      <c r="F9" s="27">
        <v>3.5</v>
      </c>
      <c r="I9" s="60" t="s">
        <v>43</v>
      </c>
      <c r="J9" s="60">
        <v>76.5</v>
      </c>
      <c r="L9" s="22" t="s">
        <v>81</v>
      </c>
      <c r="M9" s="61">
        <f>_xlfn.STDEV.P(J7:J42)</f>
        <v>44.322635422574635</v>
      </c>
      <c r="O9" s="24">
        <f>LOG(1/M9) - (1/M10 + 1) * LOG(1 + M10 * (J8 - M8)/M9) - (1 + M10 * (J8 - M8)/M9)^(-1/M10)</f>
        <v>-2.6095252514578382</v>
      </c>
    </row>
    <row r="10" spans="5:15" x14ac:dyDescent="0.3">
      <c r="E10" s="26">
        <v>44565</v>
      </c>
      <c r="F10" s="27">
        <v>1.7</v>
      </c>
      <c r="I10" s="60" t="s">
        <v>44</v>
      </c>
      <c r="J10" s="60">
        <v>32</v>
      </c>
      <c r="L10" s="22" t="s">
        <v>80</v>
      </c>
      <c r="M10">
        <v>0.1</v>
      </c>
      <c r="O10" s="24">
        <f>LOG(1/M9) - (1/M10 + 1) * LOG(1 + M10 * (J9 - M8)/M9) - (1 + M10 * (J9 - M8)/M9)^(-1/M10)</f>
        <v>-2.562298255797558</v>
      </c>
    </row>
    <row r="11" spans="5:15" x14ac:dyDescent="0.3">
      <c r="E11" s="26">
        <v>44566</v>
      </c>
      <c r="F11" s="27">
        <v>99.5</v>
      </c>
      <c r="I11" s="60" t="s">
        <v>45</v>
      </c>
      <c r="J11" s="60">
        <v>32.5</v>
      </c>
      <c r="O11" s="24">
        <f>LOG(1/M9) - (1/M10 + 1) * LOG(1 + M10 * (J10 - M8)/M9) - (1 + M10 * (J10 - M8)/M9)^(-1/M10)</f>
        <v>-3.5626235941069684</v>
      </c>
    </row>
    <row r="12" spans="5:15" x14ac:dyDescent="0.3">
      <c r="E12" s="26">
        <v>44567</v>
      </c>
      <c r="F12" s="27">
        <v>0</v>
      </c>
      <c r="I12" s="60" t="s">
        <v>46</v>
      </c>
      <c r="J12" s="60">
        <v>78</v>
      </c>
      <c r="O12" s="24">
        <f>LOG(1/M9) - (1/M10 + 1) * LOG(1 + M10 * (J11 - M8)/M9) - (1 + M10 * (J11 - M8)/M9)^(-1/M10)</f>
        <v>-3.540236488054564</v>
      </c>
    </row>
    <row r="13" spans="5:15" x14ac:dyDescent="0.3">
      <c r="E13" s="26">
        <v>44568</v>
      </c>
      <c r="F13" s="27">
        <v>30.6</v>
      </c>
      <c r="I13" s="60" t="s">
        <v>47</v>
      </c>
      <c r="J13" s="60">
        <v>40.5</v>
      </c>
      <c r="O13" s="24">
        <f>LOG(1/M9) - (1/M10 + 1) * LOG(1 + M10 * (J12 - M8)/M9) - (1 + M10 * (J12 - M8)/M9)^(-1/M10)</f>
        <v>-2.5513357138845389</v>
      </c>
    </row>
    <row r="14" spans="5:15" x14ac:dyDescent="0.3">
      <c r="E14" s="26">
        <v>44569</v>
      </c>
      <c r="F14" s="27">
        <v>0</v>
      </c>
      <c r="I14" s="60" t="s">
        <v>48</v>
      </c>
      <c r="J14" s="60">
        <v>66.5</v>
      </c>
      <c r="O14" s="24">
        <f>LOG(1/M9) - (1/M10 + 1) * LOG(1 + M10 * (J13 - M8)/M9) - (1 + M10 * (J13 - M8)/M9)^(-1/M10)</f>
        <v>-3.2289611805482892</v>
      </c>
    </row>
    <row r="15" spans="5:15" x14ac:dyDescent="0.3">
      <c r="E15" s="26">
        <v>44570</v>
      </c>
      <c r="F15" s="27">
        <v>23</v>
      </c>
      <c r="I15" s="60" t="s">
        <v>49</v>
      </c>
      <c r="J15" s="60">
        <v>40.5</v>
      </c>
      <c r="O15" s="24">
        <f>LOG(1/M9) - (1/M10 + 1) * LOG(1 + M10 * (J14 - M8)/M9) - (1 + M10 * (J14 - M8)/M9)^(-1/M10)</f>
        <v>-2.6615360895014164</v>
      </c>
    </row>
    <row r="16" spans="5:15" x14ac:dyDescent="0.3">
      <c r="E16" s="26">
        <v>44571</v>
      </c>
      <c r="F16" s="27">
        <v>8</v>
      </c>
      <c r="I16" s="60" t="s">
        <v>50</v>
      </c>
      <c r="J16" s="60">
        <v>58.5</v>
      </c>
      <c r="O16" s="24">
        <f>LOG(1/M9) - (1/M10 + 1) * LOG(1 + M10 * (J15 - M8)/M9) - (1 + M10 * (J15 - M8)/M9)^(-1/M10)</f>
        <v>-3.2289611805482892</v>
      </c>
    </row>
    <row r="17" spans="5:21" x14ac:dyDescent="0.3">
      <c r="E17" s="26">
        <v>44572</v>
      </c>
      <c r="F17" s="27">
        <v>1</v>
      </c>
      <c r="I17" s="60" t="s">
        <v>51</v>
      </c>
      <c r="J17" s="60">
        <v>89.6</v>
      </c>
      <c r="O17" s="24">
        <f>LOG(1/M9) - (1/M10 + 1) * LOG(1 + M10 * (J16 - M8)/M9) - (1 + M10 * (J16 - M8)/M9)^(-1/M10)</f>
        <v>-2.7803275399934666</v>
      </c>
    </row>
    <row r="18" spans="5:21" x14ac:dyDescent="0.3">
      <c r="E18" s="26">
        <v>44573</v>
      </c>
      <c r="F18" s="27">
        <v>34.5</v>
      </c>
      <c r="I18" s="60" t="s">
        <v>52</v>
      </c>
      <c r="J18" s="60">
        <v>126.4</v>
      </c>
      <c r="O18" s="24">
        <f>LOG(1/M9) - (1/M10 + 1) * LOG(1 + M10 * (J17 - M8)/M9) - (1 + M10 * (J17 - M8)/M9)^(-1/M10)</f>
        <v>-2.4944876204510096</v>
      </c>
    </row>
    <row r="19" spans="5:21" x14ac:dyDescent="0.3">
      <c r="E19" s="26">
        <v>44574</v>
      </c>
      <c r="F19" s="27">
        <v>117</v>
      </c>
      <c r="I19" s="60" t="s">
        <v>53</v>
      </c>
      <c r="J19" s="60">
        <v>130</v>
      </c>
      <c r="O19" s="24">
        <f>LOG(1/M9) - (1/M10 + 1) * LOG(1 + M10 * (J18 - M8)/M9) - (1 + M10 * (J18 - M8)/M9)^(-1/M10)</f>
        <v>-2.5289763586996368</v>
      </c>
    </row>
    <row r="20" spans="5:21" x14ac:dyDescent="0.3">
      <c r="E20" s="26">
        <v>44575</v>
      </c>
      <c r="F20" s="27">
        <v>12</v>
      </c>
      <c r="I20" s="60" t="s">
        <v>54</v>
      </c>
      <c r="J20" s="60">
        <v>200</v>
      </c>
      <c r="O20" s="24">
        <f>LOG(1/M9) - (1/M10 + 1) * LOG(1 + M10 * (J19 - M8)/M9) - (1 + M10 * (J19 - M8)/M9)^(-1/M10)</f>
        <v>-2.5432213690882315</v>
      </c>
    </row>
    <row r="21" spans="5:21" x14ac:dyDescent="0.3">
      <c r="E21" s="26">
        <v>44576</v>
      </c>
      <c r="F21" s="27">
        <v>50.5</v>
      </c>
      <c r="I21" s="60" t="s">
        <v>55</v>
      </c>
      <c r="J21" s="60">
        <v>112.5</v>
      </c>
      <c r="O21" s="24">
        <f>LOG(1/M9) - (1/M10 + 1) * LOG(1 + M10 * (J20 - M8)/M9) - (1 + M10 * (J20 - M8)/M9)^(-1/M10)</f>
        <v>-2.9676313235237544</v>
      </c>
    </row>
    <row r="22" spans="5:21" x14ac:dyDescent="0.3">
      <c r="E22" s="26">
        <v>44577</v>
      </c>
      <c r="F22" s="27">
        <v>28.3</v>
      </c>
      <c r="I22" s="60" t="s">
        <v>56</v>
      </c>
      <c r="J22" s="60">
        <v>45</v>
      </c>
      <c r="O22" s="24">
        <f>LOG(1/M9) - (1/M10 + 1) * LOG(1 + M10 * (J21 - M8)/M9) - (1 + M10 * (J21 - M8)/M9)^(-1/M10)</f>
        <v>-2.4883489205270557</v>
      </c>
    </row>
    <row r="23" spans="5:21" x14ac:dyDescent="0.3">
      <c r="E23" s="26">
        <v>44578</v>
      </c>
      <c r="F23" s="27">
        <v>22.5</v>
      </c>
      <c r="I23" s="60" t="s">
        <v>57</v>
      </c>
      <c r="J23" s="60">
        <v>37.799999999999997</v>
      </c>
      <c r="O23" s="24">
        <f>LOG(1/M9) - (1/M10 + 1) * LOG(1 + M10 * (J22 - M8)/M9) - (1 + M10 * (J22 - M8)/M9)^(-1/M10)</f>
        <v>-3.0880530817964398</v>
      </c>
    </row>
    <row r="24" spans="5:21" x14ac:dyDescent="0.3">
      <c r="E24" s="26">
        <v>44579</v>
      </c>
      <c r="F24" s="27">
        <v>12.7</v>
      </c>
      <c r="I24" s="60" t="s">
        <v>58</v>
      </c>
      <c r="J24" s="60">
        <v>20</v>
      </c>
      <c r="O24" s="24">
        <f>LOG(1/M9) - (1/M10 + 1) * LOG(1 + M10 * (J23 - M8)/M9) - (1 + M10 * (J23 - M8)/M9)^(-1/M10)</f>
        <v>-3.3246979511726344</v>
      </c>
    </row>
    <row r="25" spans="5:21" x14ac:dyDescent="0.3">
      <c r="E25" s="26">
        <v>44580</v>
      </c>
      <c r="F25" s="27">
        <v>0</v>
      </c>
      <c r="I25" s="60" t="s">
        <v>59</v>
      </c>
      <c r="J25" s="60">
        <v>66</v>
      </c>
      <c r="O25" s="24">
        <f>LOG(1/M9) - (1/M10 + 1) * LOG(1 + M10 * (J24 - M8)/M9) - (1 + M10 * (J24- M8)/M9)^(-1/M10)</f>
        <v>-4.2272112548763516</v>
      </c>
    </row>
    <row r="26" spans="5:21" x14ac:dyDescent="0.3">
      <c r="E26" s="26">
        <v>44581</v>
      </c>
      <c r="F26" s="27">
        <v>0</v>
      </c>
      <c r="I26" s="60" t="s">
        <v>60</v>
      </c>
      <c r="J26" s="60">
        <v>26</v>
      </c>
      <c r="O26" s="24">
        <f>LOG(1/M9) - (1/M10 + 1) * LOG(1 + M10 * (J25 - M8)/M9) - (1 + M10 * (J25 - M8)/M9)^(-1/M10)</f>
        <v>-2.6678328030637366</v>
      </c>
      <c r="U26">
        <f>AVERAGE(F7:F16)</f>
        <v>26.170000000000005</v>
      </c>
    </row>
    <row r="27" spans="5:21" x14ac:dyDescent="0.3">
      <c r="E27" s="26">
        <v>44582</v>
      </c>
      <c r="F27" s="27">
        <v>2.5</v>
      </c>
      <c r="I27" s="60" t="s">
        <v>61</v>
      </c>
      <c r="J27" s="60">
        <v>25.5</v>
      </c>
      <c r="O27" s="24">
        <f>LOG(1/M9) - (1/M10 + 1) * LOG(1 + M10 * (J26 - M8)/M9) - (1 + M10 * (J26 - M8)/M9)^(-1/M10)</f>
        <v>-3.8623370602016056</v>
      </c>
      <c r="U27">
        <f>_xlfn.STDEV.P(F7:F16)</f>
        <v>30.692704344843904</v>
      </c>
    </row>
    <row r="28" spans="5:21" x14ac:dyDescent="0.3">
      <c r="E28" s="26">
        <v>44583</v>
      </c>
      <c r="F28" s="27">
        <v>10</v>
      </c>
      <c r="I28" s="60" t="s">
        <v>62</v>
      </c>
      <c r="J28" s="60">
        <v>39</v>
      </c>
      <c r="O28" s="24">
        <f>LOG(1/M9) - (1/M10 + 1) * LOG(1 + M10 * (J27 - M8)/M9) - (1 + M10 * (J27 - M8)/M9)^(-1/M10)</f>
        <v>-3.8900905767106932</v>
      </c>
    </row>
    <row r="29" spans="5:21" x14ac:dyDescent="0.3">
      <c r="E29" s="26">
        <v>44584</v>
      </c>
      <c r="F29" s="27">
        <v>0</v>
      </c>
      <c r="I29" s="60" t="s">
        <v>63</v>
      </c>
      <c r="J29" s="60">
        <v>126</v>
      </c>
      <c r="O29" s="24">
        <f>LOG(1/M9) - (1/M10 + 1) * LOG(1 + M10 * (J28 - M8)/M9) - (1 + M10 * (J28 - M8)/M9)^(-1/M10)</f>
        <v>-3.2810501012124265</v>
      </c>
    </row>
    <row r="30" spans="5:21" x14ac:dyDescent="0.3">
      <c r="E30" s="26">
        <v>44585</v>
      </c>
      <c r="F30" s="27">
        <v>4.5999999999999996</v>
      </c>
      <c r="I30" s="60" t="s">
        <v>64</v>
      </c>
      <c r="J30" s="60">
        <v>29.5</v>
      </c>
      <c r="O30" s="24">
        <f>LOG(1/M9) - (1/M10 + 1) * LOG(1 + M10 * (J29 - M8)/M9) - (1 + M10 * (J29 - M8)/M9)^(-1/M10)</f>
        <v>-2.5274767416450543</v>
      </c>
    </row>
    <row r="31" spans="5:21" x14ac:dyDescent="0.3">
      <c r="E31" s="26">
        <v>44586</v>
      </c>
      <c r="F31" s="27">
        <v>8.1999999999999993</v>
      </c>
      <c r="I31" s="60" t="s">
        <v>65</v>
      </c>
      <c r="J31" s="60">
        <v>75</v>
      </c>
      <c r="O31" s="24">
        <f>LOG(1/M9) - (1/M10 + 1) * LOG(1 + M10 * (J30 - M8)/M9) - (1 + M10 * (J30 - M8)/M9)^(-1/M10)</f>
        <v>-3.6803233926974759</v>
      </c>
    </row>
    <row r="32" spans="5:21" x14ac:dyDescent="0.3">
      <c r="E32" s="26">
        <v>44587</v>
      </c>
      <c r="F32" s="27">
        <v>0</v>
      </c>
      <c r="I32" s="60" t="s">
        <v>66</v>
      </c>
      <c r="J32" s="60">
        <v>24.1</v>
      </c>
      <c r="O32" s="24">
        <f>LOG(1/M9) - (1/M10 + 1) * LOG(1 + M10 * (J31 - M8)/M9) - (1 + M10 * (J31 - M8)/M9)^(-1/M10)</f>
        <v>-2.5742042329215939</v>
      </c>
    </row>
    <row r="33" spans="5:15" x14ac:dyDescent="0.3">
      <c r="E33" s="26">
        <v>44588</v>
      </c>
      <c r="F33" s="27">
        <v>3.3</v>
      </c>
      <c r="I33" s="60" t="s">
        <v>67</v>
      </c>
      <c r="J33" s="60">
        <v>50.5</v>
      </c>
      <c r="O33" s="24">
        <f>LOG(1/M9) - (1/M10 + 1) * LOG(1 + M10 * (J32 - M8)/M9) - (1 + M10 * (J32 - M8)/M9)^(-1/M10)</f>
        <v>-3.9702597953416139</v>
      </c>
    </row>
    <row r="34" spans="5:15" x14ac:dyDescent="0.3">
      <c r="E34" s="26">
        <v>44589</v>
      </c>
      <c r="F34" s="27">
        <v>1.6</v>
      </c>
      <c r="I34" s="60" t="s">
        <v>68</v>
      </c>
      <c r="J34" s="60">
        <v>47.5</v>
      </c>
      <c r="O34" s="24">
        <f>LOG(1/M9) - (1/M10 + 1) * LOG(1 + M10 * (J33 - M8)/M9) - (1 + M10 * (J33 - M8)/M9)^(-1/M10)</f>
        <v>-2.9438317066265083</v>
      </c>
    </row>
    <row r="35" spans="5:15" x14ac:dyDescent="0.3">
      <c r="E35" s="26">
        <v>44590</v>
      </c>
      <c r="F35" s="27">
        <v>1.6</v>
      </c>
      <c r="I35" s="60" t="s">
        <v>69</v>
      </c>
      <c r="J35" s="60">
        <v>31</v>
      </c>
      <c r="O35" s="24">
        <f>LOG(1/M9) - (1/M10 + 1) * LOG(1 + M10 * (J34 - M8)/M9) - (1 + M10 * (J34 - M8)/M9)^(-1/M10)</f>
        <v>-3.0189349920869315</v>
      </c>
    </row>
    <row r="36" spans="5:15" x14ac:dyDescent="0.3">
      <c r="E36" s="26">
        <v>44591</v>
      </c>
      <c r="F36" s="27">
        <v>0.8</v>
      </c>
      <c r="I36" s="60" t="s">
        <v>70</v>
      </c>
      <c r="J36" s="60">
        <v>7.3</v>
      </c>
      <c r="O36" s="24">
        <f>LOG(1/M9) - (1/M10 + 1) * LOG(1 + M10 * (J35 - M8)/M9) - (1 + M10 * (J35 - M8)/M9)^(-1/M10)</f>
        <v>-3.6085333461609812</v>
      </c>
    </row>
    <row r="37" spans="5:15" x14ac:dyDescent="0.3">
      <c r="E37" s="26">
        <v>44592</v>
      </c>
      <c r="F37" s="27">
        <v>0</v>
      </c>
      <c r="I37" s="60" t="s">
        <v>71</v>
      </c>
      <c r="J37" s="60">
        <v>27</v>
      </c>
      <c r="O37" s="24">
        <f>LOG(1/M9) - (1/M10 + 1) * LOG(1 + M10 * (J36 - M8)/M9) - (1 + M10 * (J36 - M8)/M9)^(-1/M10)</f>
        <v>-5.2773426106941601</v>
      </c>
    </row>
    <row r="38" spans="5:15" x14ac:dyDescent="0.3">
      <c r="E38" s="26">
        <v>44593</v>
      </c>
      <c r="F38" s="28">
        <v>0</v>
      </c>
      <c r="I38" s="60" t="s">
        <v>72</v>
      </c>
      <c r="J38" s="60">
        <v>134.9</v>
      </c>
      <c r="O38" s="24">
        <f>LOG(1/M9) - (1/M10 + 1) * LOG(1 + M10 * (J37 - M8)/M9) - (1 + M10 * (J37 - M8)/M9)^(-1/M10)</f>
        <v>-3.8081767925093981</v>
      </c>
    </row>
    <row r="39" spans="5:15" x14ac:dyDescent="0.3">
      <c r="E39" s="26">
        <v>44594</v>
      </c>
      <c r="F39" s="28">
        <v>0</v>
      </c>
      <c r="I39" s="60" t="s">
        <v>73</v>
      </c>
      <c r="J39" s="60">
        <v>69.400000000000006</v>
      </c>
      <c r="O39" s="24">
        <f>LOG(1/M9) - (1/M10 + 1) * LOG(1 + M10 * (J38 - M8)/M9) - (1 + M10 * (J38 - M8)/M9)^(-1/M10)</f>
        <v>-2.5646071068724785</v>
      </c>
    </row>
    <row r="40" spans="5:15" x14ac:dyDescent="0.3">
      <c r="E40" s="26">
        <v>44595</v>
      </c>
      <c r="F40" s="28">
        <v>6.3</v>
      </c>
      <c r="I40" s="60" t="s">
        <v>74</v>
      </c>
      <c r="J40" s="60">
        <v>21</v>
      </c>
      <c r="O40" s="24">
        <f>LOG(1/M9) - (1/M10 + 1) * LOG(1 + M10 * (J39 - M8)/M9) - (1 + M10 * (J39 - M8)/M9)^(-1/M10)</f>
        <v>-2.6276885385581723</v>
      </c>
    </row>
    <row r="41" spans="5:15" x14ac:dyDescent="0.3">
      <c r="E41" s="26">
        <v>44596</v>
      </c>
      <c r="F41" s="28">
        <v>7.2</v>
      </c>
      <c r="I41" s="60" t="s">
        <v>75</v>
      </c>
      <c r="J41" s="60">
        <v>110.3</v>
      </c>
      <c r="O41" s="24">
        <f>LOG(1/M9) - (1/M10 + 1) * LOG(1 + M10 * (J40- M8)/M9) - (1 + M10 * (J40 - M8)/M9)^(-1/M10)</f>
        <v>-4.161350516688552</v>
      </c>
    </row>
    <row r="42" spans="5:15" x14ac:dyDescent="0.3">
      <c r="E42" s="26">
        <v>44597</v>
      </c>
      <c r="F42" s="28">
        <v>19</v>
      </c>
      <c r="I42" s="60" t="s">
        <v>76</v>
      </c>
      <c r="J42" s="60">
        <v>81</v>
      </c>
      <c r="O42" s="24">
        <f>LOG(1/M9) - (1/M10 + 1) * LOG(1 + M10 * (J41 - M8)/M9) - (1 + M10 * (J41 - M8)/M9)^(-1/M10)</f>
        <v>-2.4844208761011588</v>
      </c>
    </row>
    <row r="43" spans="5:15" x14ac:dyDescent="0.3">
      <c r="E43" s="26">
        <v>44598</v>
      </c>
      <c r="F43" s="28">
        <v>3.5</v>
      </c>
      <c r="O43" s="24">
        <f>LOG(1/M9) - (1/M10 + 1) * LOG(1 + M10 * (J42 - M8)/M9) - (1 + M10 * (J42 - M8)/M9)^(-1/M10)</f>
        <v>-2.5320886588104128</v>
      </c>
    </row>
    <row r="44" spans="5:15" x14ac:dyDescent="0.3">
      <c r="E44" s="26">
        <v>44599</v>
      </c>
      <c r="F44" s="28">
        <v>144</v>
      </c>
      <c r="O44" s="22"/>
    </row>
    <row r="45" spans="5:15" x14ac:dyDescent="0.3">
      <c r="E45" s="26">
        <v>44600</v>
      </c>
      <c r="F45" s="28">
        <v>38.299999999999997</v>
      </c>
    </row>
    <row r="46" spans="5:15" x14ac:dyDescent="0.3">
      <c r="E46" s="26">
        <v>44601</v>
      </c>
      <c r="F46" s="28">
        <v>71.900000000000006</v>
      </c>
    </row>
    <row r="47" spans="5:15" x14ac:dyDescent="0.3">
      <c r="E47" s="26">
        <v>44602</v>
      </c>
      <c r="F47" s="28">
        <v>33.299999999999997</v>
      </c>
    </row>
    <row r="48" spans="5:15" x14ac:dyDescent="0.3">
      <c r="E48" s="26">
        <v>44603</v>
      </c>
      <c r="F48" s="28">
        <v>28</v>
      </c>
    </row>
    <row r="49" spans="5:6" x14ac:dyDescent="0.3">
      <c r="E49" s="26">
        <v>44604</v>
      </c>
      <c r="F49" s="28">
        <v>7</v>
      </c>
    </row>
    <row r="50" spans="5:6" x14ac:dyDescent="0.3">
      <c r="E50" s="26">
        <v>44605</v>
      </c>
      <c r="F50" s="28">
        <v>0</v>
      </c>
    </row>
    <row r="51" spans="5:6" x14ac:dyDescent="0.3">
      <c r="E51" s="26">
        <v>44606</v>
      </c>
      <c r="F51" s="28">
        <v>7.6</v>
      </c>
    </row>
    <row r="52" spans="5:6" x14ac:dyDescent="0.3">
      <c r="E52" s="26">
        <v>44607</v>
      </c>
      <c r="F52" s="28">
        <v>6.1</v>
      </c>
    </row>
    <row r="53" spans="5:6" x14ac:dyDescent="0.3">
      <c r="E53" s="26">
        <v>44608</v>
      </c>
      <c r="F53" s="28">
        <v>15.9</v>
      </c>
    </row>
    <row r="54" spans="5:6" x14ac:dyDescent="0.3">
      <c r="E54" s="26">
        <v>44609</v>
      </c>
      <c r="F54" s="28">
        <v>1</v>
      </c>
    </row>
    <row r="55" spans="5:6" x14ac:dyDescent="0.3">
      <c r="E55" s="26">
        <v>44610</v>
      </c>
      <c r="F55" s="28">
        <v>38</v>
      </c>
    </row>
    <row r="56" spans="5:6" x14ac:dyDescent="0.3">
      <c r="E56" s="26">
        <v>44611</v>
      </c>
      <c r="F56" s="28">
        <v>6</v>
      </c>
    </row>
    <row r="57" spans="5:6" x14ac:dyDescent="0.3">
      <c r="E57" s="26">
        <v>44612</v>
      </c>
      <c r="F57" s="28">
        <v>22</v>
      </c>
    </row>
    <row r="58" spans="5:6" x14ac:dyDescent="0.3">
      <c r="E58" s="26">
        <v>44613</v>
      </c>
      <c r="F58" s="28">
        <v>26.6</v>
      </c>
    </row>
    <row r="59" spans="5:6" x14ac:dyDescent="0.3">
      <c r="E59" s="26">
        <v>44614</v>
      </c>
      <c r="F59" s="28">
        <v>27</v>
      </c>
    </row>
    <row r="60" spans="5:6" x14ac:dyDescent="0.3">
      <c r="E60" s="26">
        <v>44615</v>
      </c>
      <c r="F60" s="28">
        <v>51.9</v>
      </c>
    </row>
    <row r="61" spans="5:6" x14ac:dyDescent="0.3">
      <c r="E61" s="26">
        <v>44616</v>
      </c>
      <c r="F61" s="28">
        <v>7.5</v>
      </c>
    </row>
    <row r="62" spans="5:6" x14ac:dyDescent="0.3">
      <c r="E62" s="26">
        <v>44617</v>
      </c>
      <c r="F62" s="28">
        <v>15.6</v>
      </c>
    </row>
    <row r="63" spans="5:6" x14ac:dyDescent="0.3">
      <c r="E63" s="26">
        <v>44618</v>
      </c>
      <c r="F63" s="28">
        <v>1.5</v>
      </c>
    </row>
    <row r="64" spans="5:6" x14ac:dyDescent="0.3">
      <c r="E64" s="26">
        <v>44619</v>
      </c>
      <c r="F64" s="28">
        <v>1.5</v>
      </c>
    </row>
    <row r="65" spans="5:6" x14ac:dyDescent="0.3">
      <c r="E65" s="26">
        <v>44620</v>
      </c>
      <c r="F65" s="28">
        <v>51.8</v>
      </c>
    </row>
    <row r="66" spans="5:6" x14ac:dyDescent="0.3">
      <c r="E66" s="26">
        <v>44621</v>
      </c>
      <c r="F66" s="29">
        <v>76.5</v>
      </c>
    </row>
    <row r="67" spans="5:6" x14ac:dyDescent="0.3">
      <c r="E67" s="26">
        <v>44622</v>
      </c>
      <c r="F67" s="29">
        <v>0</v>
      </c>
    </row>
    <row r="68" spans="5:6" x14ac:dyDescent="0.3">
      <c r="E68" s="26">
        <v>44623</v>
      </c>
      <c r="F68" s="29">
        <v>13</v>
      </c>
    </row>
    <row r="69" spans="5:6" x14ac:dyDescent="0.3">
      <c r="E69" s="26">
        <v>44624</v>
      </c>
      <c r="F69" s="29">
        <v>1.4</v>
      </c>
    </row>
    <row r="70" spans="5:6" x14ac:dyDescent="0.3">
      <c r="E70" s="26">
        <v>44625</v>
      </c>
      <c r="F70" s="29">
        <v>5.0999999999999996</v>
      </c>
    </row>
    <row r="71" spans="5:6" x14ac:dyDescent="0.3">
      <c r="E71" s="26">
        <v>44626</v>
      </c>
      <c r="F71" s="29">
        <v>1</v>
      </c>
    </row>
    <row r="72" spans="5:6" x14ac:dyDescent="0.3">
      <c r="E72" s="26">
        <v>44627</v>
      </c>
      <c r="F72" s="29">
        <v>8.1999999999999993</v>
      </c>
    </row>
    <row r="73" spans="5:6" x14ac:dyDescent="0.3">
      <c r="E73" s="26">
        <v>44628</v>
      </c>
      <c r="F73" s="29">
        <v>0</v>
      </c>
    </row>
    <row r="74" spans="5:6" x14ac:dyDescent="0.3">
      <c r="E74" s="26">
        <v>44629</v>
      </c>
      <c r="F74" s="29">
        <v>26.8</v>
      </c>
    </row>
    <row r="75" spans="5:6" x14ac:dyDescent="0.3">
      <c r="E75" s="26">
        <v>44630</v>
      </c>
      <c r="F75" s="29">
        <v>7.5</v>
      </c>
    </row>
    <row r="76" spans="5:6" x14ac:dyDescent="0.3">
      <c r="E76" s="26">
        <v>44631</v>
      </c>
      <c r="F76" s="29">
        <v>1.8</v>
      </c>
    </row>
    <row r="77" spans="5:6" x14ac:dyDescent="0.3">
      <c r="E77" s="26">
        <v>44632</v>
      </c>
      <c r="F77" s="29">
        <v>2.6</v>
      </c>
    </row>
    <row r="78" spans="5:6" x14ac:dyDescent="0.3">
      <c r="E78" s="26">
        <v>44633</v>
      </c>
      <c r="F78" s="29">
        <v>3</v>
      </c>
    </row>
    <row r="79" spans="5:6" x14ac:dyDescent="0.3">
      <c r="E79" s="26">
        <v>44634</v>
      </c>
      <c r="F79" s="29">
        <v>0</v>
      </c>
    </row>
    <row r="80" spans="5:6" x14ac:dyDescent="0.3">
      <c r="E80" s="26">
        <v>44635</v>
      </c>
      <c r="F80" s="29">
        <v>7.7</v>
      </c>
    </row>
    <row r="81" spans="5:6" x14ac:dyDescent="0.3">
      <c r="E81" s="26">
        <v>44636</v>
      </c>
      <c r="F81" s="29">
        <v>10.6</v>
      </c>
    </row>
    <row r="82" spans="5:6" x14ac:dyDescent="0.3">
      <c r="E82" s="26">
        <v>44637</v>
      </c>
      <c r="F82" s="29">
        <v>9.6</v>
      </c>
    </row>
    <row r="83" spans="5:6" x14ac:dyDescent="0.3">
      <c r="E83" s="26">
        <v>44638</v>
      </c>
      <c r="F83" s="29">
        <v>25.2</v>
      </c>
    </row>
    <row r="84" spans="5:6" x14ac:dyDescent="0.3">
      <c r="E84" s="26">
        <v>44639</v>
      </c>
      <c r="F84" s="29">
        <v>30.2</v>
      </c>
    </row>
    <row r="85" spans="5:6" x14ac:dyDescent="0.3">
      <c r="E85" s="26">
        <v>44640</v>
      </c>
      <c r="F85" s="29">
        <v>37.700000000000003</v>
      </c>
    </row>
    <row r="86" spans="5:6" x14ac:dyDescent="0.3">
      <c r="E86" s="26">
        <v>44641</v>
      </c>
      <c r="F86" s="29">
        <v>12.5</v>
      </c>
    </row>
    <row r="87" spans="5:6" x14ac:dyDescent="0.3">
      <c r="E87" s="26">
        <v>44642</v>
      </c>
      <c r="F87" s="29">
        <v>6.1</v>
      </c>
    </row>
    <row r="88" spans="5:6" x14ac:dyDescent="0.3">
      <c r="E88" s="26">
        <v>44643</v>
      </c>
      <c r="F88" s="29">
        <v>1.5</v>
      </c>
    </row>
    <row r="89" spans="5:6" x14ac:dyDescent="0.3">
      <c r="E89" s="26">
        <v>44644</v>
      </c>
      <c r="F89" s="29">
        <v>37.1</v>
      </c>
    </row>
    <row r="90" spans="5:6" x14ac:dyDescent="0.3">
      <c r="E90" s="26">
        <v>44645</v>
      </c>
      <c r="F90" s="29">
        <v>1.5</v>
      </c>
    </row>
    <row r="91" spans="5:6" x14ac:dyDescent="0.3">
      <c r="E91" s="26">
        <v>44646</v>
      </c>
      <c r="F91" s="29">
        <v>8.5</v>
      </c>
    </row>
    <row r="92" spans="5:6" x14ac:dyDescent="0.3">
      <c r="E92" s="26">
        <v>44647</v>
      </c>
      <c r="F92" s="29">
        <v>26.2</v>
      </c>
    </row>
    <row r="93" spans="5:6" x14ac:dyDescent="0.3">
      <c r="E93" s="26">
        <v>44648</v>
      </c>
      <c r="F93" s="29">
        <v>12.3</v>
      </c>
    </row>
    <row r="94" spans="5:6" x14ac:dyDescent="0.3">
      <c r="E94" s="26">
        <v>44649</v>
      </c>
      <c r="F94" s="29">
        <v>13.5</v>
      </c>
    </row>
    <row r="95" spans="5:6" x14ac:dyDescent="0.3">
      <c r="E95" s="26">
        <v>44650</v>
      </c>
      <c r="F95" s="29">
        <v>2.1</v>
      </c>
    </row>
    <row r="96" spans="5:6" x14ac:dyDescent="0.3">
      <c r="E96" s="26">
        <v>44651</v>
      </c>
      <c r="F96" s="29">
        <v>5.2</v>
      </c>
    </row>
    <row r="97" spans="5:6" x14ac:dyDescent="0.3">
      <c r="E97" s="26">
        <v>44652</v>
      </c>
      <c r="F97" s="30">
        <v>2.4</v>
      </c>
    </row>
    <row r="98" spans="5:6" x14ac:dyDescent="0.3">
      <c r="E98" s="26">
        <v>44653</v>
      </c>
      <c r="F98" s="30">
        <v>0</v>
      </c>
    </row>
    <row r="99" spans="5:6" x14ac:dyDescent="0.3">
      <c r="E99" s="26">
        <v>44654</v>
      </c>
      <c r="F99" s="30">
        <v>1.3</v>
      </c>
    </row>
    <row r="100" spans="5:6" x14ac:dyDescent="0.3">
      <c r="E100" s="26">
        <v>44655</v>
      </c>
      <c r="F100" s="30">
        <v>8.6999999999999993</v>
      </c>
    </row>
    <row r="101" spans="5:6" x14ac:dyDescent="0.3">
      <c r="E101" s="26">
        <v>44656</v>
      </c>
      <c r="F101" s="30">
        <v>1.6</v>
      </c>
    </row>
    <row r="102" spans="5:6" x14ac:dyDescent="0.3">
      <c r="E102" s="26">
        <v>44657</v>
      </c>
      <c r="F102" s="30">
        <v>32</v>
      </c>
    </row>
    <row r="103" spans="5:6" x14ac:dyDescent="0.3">
      <c r="E103" s="26">
        <v>44658</v>
      </c>
      <c r="F103" s="30">
        <v>1</v>
      </c>
    </row>
    <row r="104" spans="5:6" x14ac:dyDescent="0.3">
      <c r="E104" s="26">
        <v>44659</v>
      </c>
      <c r="F104" s="30">
        <v>1.5</v>
      </c>
    </row>
    <row r="105" spans="5:6" x14ac:dyDescent="0.3">
      <c r="E105" s="26">
        <v>44660</v>
      </c>
      <c r="F105" s="30">
        <v>0.8</v>
      </c>
    </row>
    <row r="106" spans="5:6" x14ac:dyDescent="0.3">
      <c r="E106" s="26">
        <v>44661</v>
      </c>
      <c r="F106" s="30">
        <v>0.8</v>
      </c>
    </row>
    <row r="107" spans="5:6" x14ac:dyDescent="0.3">
      <c r="E107" s="26">
        <v>44662</v>
      </c>
      <c r="F107" s="30">
        <v>0</v>
      </c>
    </row>
    <row r="108" spans="5:6" x14ac:dyDescent="0.3">
      <c r="E108" s="26">
        <v>44663</v>
      </c>
      <c r="F108" s="30">
        <v>0.2</v>
      </c>
    </row>
    <row r="109" spans="5:6" x14ac:dyDescent="0.3">
      <c r="E109" s="26">
        <v>44664</v>
      </c>
      <c r="F109" s="30">
        <v>0</v>
      </c>
    </row>
    <row r="110" spans="5:6" x14ac:dyDescent="0.3">
      <c r="E110" s="26">
        <v>44665</v>
      </c>
      <c r="F110" s="30">
        <v>0</v>
      </c>
    </row>
    <row r="111" spans="5:6" x14ac:dyDescent="0.3">
      <c r="E111" s="26">
        <v>44666</v>
      </c>
      <c r="F111" s="30">
        <v>0</v>
      </c>
    </row>
    <row r="112" spans="5:6" x14ac:dyDescent="0.3">
      <c r="E112" s="26">
        <v>44667</v>
      </c>
      <c r="F112" s="30">
        <v>0</v>
      </c>
    </row>
    <row r="113" spans="5:6" x14ac:dyDescent="0.3">
      <c r="E113" s="26">
        <v>44668</v>
      </c>
      <c r="F113" s="30">
        <v>0</v>
      </c>
    </row>
    <row r="114" spans="5:6" x14ac:dyDescent="0.3">
      <c r="E114" s="26">
        <v>44669</v>
      </c>
      <c r="F114" s="30">
        <v>0</v>
      </c>
    </row>
    <row r="115" spans="5:6" x14ac:dyDescent="0.3">
      <c r="E115" s="26">
        <v>44670</v>
      </c>
      <c r="F115" s="30">
        <v>0</v>
      </c>
    </row>
    <row r="116" spans="5:6" x14ac:dyDescent="0.3">
      <c r="E116" s="26">
        <v>44671</v>
      </c>
      <c r="F116" s="30">
        <v>9.5</v>
      </c>
    </row>
    <row r="117" spans="5:6" x14ac:dyDescent="0.3">
      <c r="E117" s="26">
        <v>44672</v>
      </c>
      <c r="F117" s="30">
        <v>3.6</v>
      </c>
    </row>
    <row r="118" spans="5:6" x14ac:dyDescent="0.3">
      <c r="E118" s="26">
        <v>44673</v>
      </c>
      <c r="F118" s="30">
        <v>4.8</v>
      </c>
    </row>
    <row r="119" spans="5:6" x14ac:dyDescent="0.3">
      <c r="E119" s="26">
        <v>44674</v>
      </c>
      <c r="F119" s="30">
        <v>1.2</v>
      </c>
    </row>
    <row r="120" spans="5:6" x14ac:dyDescent="0.3">
      <c r="E120" s="26">
        <v>44675</v>
      </c>
      <c r="F120" s="30">
        <v>7.2</v>
      </c>
    </row>
    <row r="121" spans="5:6" x14ac:dyDescent="0.3">
      <c r="E121" s="26">
        <v>44676</v>
      </c>
      <c r="F121" s="30">
        <v>0</v>
      </c>
    </row>
    <row r="122" spans="5:6" x14ac:dyDescent="0.3">
      <c r="E122" s="26">
        <v>44677</v>
      </c>
      <c r="F122" s="30">
        <v>23</v>
      </c>
    </row>
    <row r="123" spans="5:6" x14ac:dyDescent="0.3">
      <c r="E123" s="26">
        <v>44678</v>
      </c>
      <c r="F123" s="30">
        <v>7.7</v>
      </c>
    </row>
    <row r="124" spans="5:6" x14ac:dyDescent="0.3">
      <c r="E124" s="26">
        <v>44679</v>
      </c>
      <c r="F124" s="30">
        <v>10.199999999999999</v>
      </c>
    </row>
    <row r="125" spans="5:6" x14ac:dyDescent="0.3">
      <c r="E125" s="26">
        <v>44680</v>
      </c>
      <c r="F125" s="30">
        <v>0</v>
      </c>
    </row>
    <row r="126" spans="5:6" x14ac:dyDescent="0.3">
      <c r="E126" s="26">
        <v>44681</v>
      </c>
      <c r="F126" s="30">
        <v>2.6</v>
      </c>
    </row>
    <row r="127" spans="5:6" x14ac:dyDescent="0.3">
      <c r="E127" s="26">
        <v>44682</v>
      </c>
      <c r="F127" s="31">
        <v>0</v>
      </c>
    </row>
    <row r="128" spans="5:6" x14ac:dyDescent="0.3">
      <c r="E128" s="26">
        <v>44683</v>
      </c>
      <c r="F128" s="31">
        <v>0</v>
      </c>
    </row>
    <row r="129" spans="5:6" x14ac:dyDescent="0.3">
      <c r="E129" s="26">
        <v>44684</v>
      </c>
      <c r="F129" s="31">
        <v>5.8</v>
      </c>
    </row>
    <row r="130" spans="5:6" x14ac:dyDescent="0.3">
      <c r="E130" s="26">
        <v>44685</v>
      </c>
      <c r="F130" s="31">
        <v>1.2</v>
      </c>
    </row>
    <row r="131" spans="5:6" x14ac:dyDescent="0.3">
      <c r="E131" s="26">
        <v>44686</v>
      </c>
      <c r="F131" s="31">
        <v>14.2</v>
      </c>
    </row>
    <row r="132" spans="5:6" x14ac:dyDescent="0.3">
      <c r="E132" s="26">
        <v>44687</v>
      </c>
      <c r="F132" s="31">
        <v>32.5</v>
      </c>
    </row>
    <row r="133" spans="5:6" x14ac:dyDescent="0.3">
      <c r="E133" s="26">
        <v>44688</v>
      </c>
      <c r="F133" s="31">
        <v>1.4</v>
      </c>
    </row>
    <row r="134" spans="5:6" x14ac:dyDescent="0.3">
      <c r="E134" s="26">
        <v>44689</v>
      </c>
      <c r="F134" s="31">
        <v>0</v>
      </c>
    </row>
    <row r="135" spans="5:6" x14ac:dyDescent="0.3">
      <c r="E135" s="26">
        <v>44690</v>
      </c>
      <c r="F135" s="31">
        <v>3.6</v>
      </c>
    </row>
    <row r="136" spans="5:6" x14ac:dyDescent="0.3">
      <c r="E136" s="26">
        <v>44691</v>
      </c>
      <c r="F136" s="31">
        <v>9</v>
      </c>
    </row>
    <row r="137" spans="5:6" x14ac:dyDescent="0.3">
      <c r="E137" s="26">
        <v>44692</v>
      </c>
      <c r="F137" s="31">
        <v>15.8</v>
      </c>
    </row>
    <row r="138" spans="5:6" x14ac:dyDescent="0.3">
      <c r="E138" s="26">
        <v>44693</v>
      </c>
      <c r="F138" s="31">
        <v>6.7</v>
      </c>
    </row>
    <row r="139" spans="5:6" x14ac:dyDescent="0.3">
      <c r="E139" s="26">
        <v>44694</v>
      </c>
      <c r="F139" s="31">
        <v>2</v>
      </c>
    </row>
    <row r="140" spans="5:6" x14ac:dyDescent="0.3">
      <c r="E140" s="26">
        <v>44695</v>
      </c>
      <c r="F140" s="31">
        <v>0</v>
      </c>
    </row>
    <row r="141" spans="5:6" x14ac:dyDescent="0.3">
      <c r="E141" s="26">
        <v>44696</v>
      </c>
      <c r="F141" s="31">
        <v>0.7</v>
      </c>
    </row>
    <row r="142" spans="5:6" x14ac:dyDescent="0.3">
      <c r="E142" s="26">
        <v>44697</v>
      </c>
      <c r="F142" s="31">
        <v>0.2</v>
      </c>
    </row>
    <row r="143" spans="5:6" x14ac:dyDescent="0.3">
      <c r="E143" s="26">
        <v>44698</v>
      </c>
      <c r="F143" s="31">
        <v>0</v>
      </c>
    </row>
    <row r="144" spans="5:6" x14ac:dyDescent="0.3">
      <c r="E144" s="26">
        <v>44699</v>
      </c>
      <c r="F144" s="31">
        <v>0.1</v>
      </c>
    </row>
    <row r="145" spans="5:6" x14ac:dyDescent="0.3">
      <c r="E145" s="26">
        <v>44700</v>
      </c>
      <c r="F145" s="31">
        <v>0</v>
      </c>
    </row>
    <row r="146" spans="5:6" x14ac:dyDescent="0.3">
      <c r="E146" s="26">
        <v>44701</v>
      </c>
      <c r="F146" s="31">
        <v>0</v>
      </c>
    </row>
    <row r="147" spans="5:6" x14ac:dyDescent="0.3">
      <c r="E147" s="26">
        <v>44702</v>
      </c>
      <c r="F147" s="31">
        <v>0</v>
      </c>
    </row>
    <row r="148" spans="5:6" x14ac:dyDescent="0.3">
      <c r="E148" s="26">
        <v>44703</v>
      </c>
      <c r="F148" s="31">
        <v>0</v>
      </c>
    </row>
    <row r="149" spans="5:6" x14ac:dyDescent="0.3">
      <c r="E149" s="26">
        <v>44704</v>
      </c>
      <c r="F149" s="31">
        <v>0</v>
      </c>
    </row>
    <row r="150" spans="5:6" x14ac:dyDescent="0.3">
      <c r="E150" s="26">
        <v>44705</v>
      </c>
      <c r="F150" s="31">
        <v>0</v>
      </c>
    </row>
    <row r="151" spans="5:6" x14ac:dyDescent="0.3">
      <c r="E151" s="26">
        <v>44706</v>
      </c>
      <c r="F151" s="31">
        <v>0</v>
      </c>
    </row>
    <row r="152" spans="5:6" x14ac:dyDescent="0.3">
      <c r="E152" s="26">
        <v>44707</v>
      </c>
      <c r="F152" s="31">
        <v>0</v>
      </c>
    </row>
    <row r="153" spans="5:6" x14ac:dyDescent="0.3">
      <c r="E153" s="26">
        <v>44708</v>
      </c>
      <c r="F153" s="31">
        <v>7.3</v>
      </c>
    </row>
    <row r="154" spans="5:6" x14ac:dyDescent="0.3">
      <c r="E154" s="26">
        <v>44709</v>
      </c>
      <c r="F154" s="31">
        <v>11.2</v>
      </c>
    </row>
    <row r="155" spans="5:6" x14ac:dyDescent="0.3">
      <c r="E155" s="26">
        <v>44710</v>
      </c>
      <c r="F155" s="31">
        <v>21.8</v>
      </c>
    </row>
    <row r="156" spans="5:6" x14ac:dyDescent="0.3">
      <c r="E156" s="26">
        <v>44711</v>
      </c>
      <c r="F156" s="31">
        <v>15.6</v>
      </c>
    </row>
    <row r="157" spans="5:6" x14ac:dyDescent="0.3">
      <c r="E157" s="26">
        <v>44712</v>
      </c>
      <c r="F157" s="31">
        <v>30.1</v>
      </c>
    </row>
    <row r="158" spans="5:6" x14ac:dyDescent="0.3">
      <c r="E158" s="26">
        <v>44713</v>
      </c>
      <c r="F158" s="32">
        <v>24</v>
      </c>
    </row>
    <row r="159" spans="5:6" x14ac:dyDescent="0.3">
      <c r="E159" s="26">
        <v>44714</v>
      </c>
      <c r="F159" s="32">
        <v>76.3</v>
      </c>
    </row>
    <row r="160" spans="5:6" x14ac:dyDescent="0.3">
      <c r="E160" s="26">
        <v>44715</v>
      </c>
      <c r="F160" s="32">
        <v>4</v>
      </c>
    </row>
    <row r="161" spans="5:6" x14ac:dyDescent="0.3">
      <c r="E161" s="26">
        <v>44716</v>
      </c>
      <c r="F161" s="32">
        <v>0</v>
      </c>
    </row>
    <row r="162" spans="5:6" x14ac:dyDescent="0.3">
      <c r="E162" s="26">
        <v>44717</v>
      </c>
      <c r="F162" s="32">
        <v>1</v>
      </c>
    </row>
    <row r="163" spans="5:6" x14ac:dyDescent="0.3">
      <c r="E163" s="26">
        <v>44718</v>
      </c>
      <c r="F163" s="32">
        <v>0</v>
      </c>
    </row>
    <row r="164" spans="5:6" x14ac:dyDescent="0.3">
      <c r="E164" s="26">
        <v>44719</v>
      </c>
      <c r="F164" s="32">
        <v>0</v>
      </c>
    </row>
    <row r="165" spans="5:6" x14ac:dyDescent="0.3">
      <c r="E165" s="26">
        <v>44720</v>
      </c>
      <c r="F165" s="32">
        <v>0</v>
      </c>
    </row>
    <row r="166" spans="5:6" x14ac:dyDescent="0.3">
      <c r="E166" s="26">
        <v>44721</v>
      </c>
      <c r="F166" s="32">
        <v>10</v>
      </c>
    </row>
    <row r="167" spans="5:6" x14ac:dyDescent="0.3">
      <c r="E167" s="26">
        <v>44722</v>
      </c>
      <c r="F167" s="32">
        <v>0</v>
      </c>
    </row>
    <row r="168" spans="5:6" x14ac:dyDescent="0.3">
      <c r="E168" s="26">
        <v>44723</v>
      </c>
      <c r="F168" s="32">
        <v>40</v>
      </c>
    </row>
    <row r="169" spans="5:6" x14ac:dyDescent="0.3">
      <c r="E169" s="26">
        <v>44724</v>
      </c>
      <c r="F169" s="32">
        <v>0</v>
      </c>
    </row>
    <row r="170" spans="5:6" x14ac:dyDescent="0.3">
      <c r="E170" s="26">
        <v>44725</v>
      </c>
      <c r="F170" s="32">
        <v>5</v>
      </c>
    </row>
    <row r="171" spans="5:6" x14ac:dyDescent="0.3">
      <c r="E171" s="26">
        <v>44726</v>
      </c>
      <c r="F171" s="32">
        <v>0</v>
      </c>
    </row>
    <row r="172" spans="5:6" x14ac:dyDescent="0.3">
      <c r="E172" s="26">
        <v>44727</v>
      </c>
      <c r="F172" s="32">
        <v>78</v>
      </c>
    </row>
    <row r="173" spans="5:6" x14ac:dyDescent="0.3">
      <c r="E173" s="26">
        <v>44728</v>
      </c>
      <c r="F173" s="32">
        <v>26</v>
      </c>
    </row>
    <row r="174" spans="5:6" x14ac:dyDescent="0.3">
      <c r="E174" s="26">
        <v>44729</v>
      </c>
      <c r="F174" s="32">
        <v>34.700000000000003</v>
      </c>
    </row>
    <row r="175" spans="5:6" x14ac:dyDescent="0.3">
      <c r="E175" s="26">
        <v>44730</v>
      </c>
      <c r="F175" s="32">
        <v>0</v>
      </c>
    </row>
    <row r="176" spans="5:6" x14ac:dyDescent="0.3">
      <c r="E176" s="26">
        <v>44731</v>
      </c>
      <c r="F176" s="32">
        <v>11.6</v>
      </c>
    </row>
    <row r="177" spans="5:6" x14ac:dyDescent="0.3">
      <c r="E177" s="26">
        <v>44732</v>
      </c>
      <c r="F177" s="32">
        <v>0</v>
      </c>
    </row>
    <row r="178" spans="5:6" x14ac:dyDescent="0.3">
      <c r="E178" s="26">
        <v>44733</v>
      </c>
      <c r="F178" s="32">
        <v>8</v>
      </c>
    </row>
    <row r="179" spans="5:6" x14ac:dyDescent="0.3">
      <c r="E179" s="26">
        <v>44734</v>
      </c>
      <c r="F179" s="32">
        <v>0</v>
      </c>
    </row>
    <row r="180" spans="5:6" x14ac:dyDescent="0.3">
      <c r="E180" s="26">
        <v>44735</v>
      </c>
      <c r="F180" s="32">
        <v>20.5</v>
      </c>
    </row>
    <row r="181" spans="5:6" x14ac:dyDescent="0.3">
      <c r="E181" s="26">
        <v>44736</v>
      </c>
      <c r="F181" s="32">
        <v>30</v>
      </c>
    </row>
    <row r="182" spans="5:6" x14ac:dyDescent="0.3">
      <c r="E182" s="26">
        <v>44737</v>
      </c>
      <c r="F182" s="32">
        <v>14</v>
      </c>
    </row>
    <row r="183" spans="5:6" x14ac:dyDescent="0.3">
      <c r="E183" s="26">
        <v>44738</v>
      </c>
      <c r="F183" s="32">
        <v>1.6</v>
      </c>
    </row>
    <row r="184" spans="5:6" x14ac:dyDescent="0.3">
      <c r="E184" s="26">
        <v>44739</v>
      </c>
      <c r="F184" s="32">
        <v>4</v>
      </c>
    </row>
    <row r="185" spans="5:6" x14ac:dyDescent="0.3">
      <c r="E185" s="26">
        <v>44740</v>
      </c>
      <c r="F185" s="32">
        <v>13</v>
      </c>
    </row>
    <row r="186" spans="5:6" x14ac:dyDescent="0.3">
      <c r="E186" s="26">
        <v>44741</v>
      </c>
      <c r="F186" s="32">
        <v>5.7</v>
      </c>
    </row>
    <row r="187" spans="5:6" x14ac:dyDescent="0.3">
      <c r="E187" s="26">
        <v>44742</v>
      </c>
      <c r="F187" s="32">
        <v>0</v>
      </c>
    </row>
    <row r="188" spans="5:6" x14ac:dyDescent="0.3">
      <c r="E188" s="26">
        <v>44743</v>
      </c>
      <c r="F188" s="33">
        <v>4.0999999999999996</v>
      </c>
    </row>
    <row r="189" spans="5:6" x14ac:dyDescent="0.3">
      <c r="E189" s="26">
        <v>44744</v>
      </c>
      <c r="F189" s="33">
        <v>10.199999999999999</v>
      </c>
    </row>
    <row r="190" spans="5:6" x14ac:dyDescent="0.3">
      <c r="E190" s="26">
        <v>44745</v>
      </c>
      <c r="F190" s="33">
        <v>0.5</v>
      </c>
    </row>
    <row r="191" spans="5:6" x14ac:dyDescent="0.3">
      <c r="E191" s="26">
        <v>44746</v>
      </c>
      <c r="F191" s="33">
        <v>4.5</v>
      </c>
    </row>
    <row r="192" spans="5:6" x14ac:dyDescent="0.3">
      <c r="E192" s="26">
        <v>44747</v>
      </c>
      <c r="F192" s="33">
        <v>8</v>
      </c>
    </row>
    <row r="193" spans="5:6" x14ac:dyDescent="0.3">
      <c r="E193" s="26">
        <v>44748</v>
      </c>
      <c r="F193" s="33">
        <v>6.2</v>
      </c>
    </row>
    <row r="194" spans="5:6" x14ac:dyDescent="0.3">
      <c r="E194" s="26">
        <v>44749</v>
      </c>
      <c r="F194" s="33">
        <v>4.8</v>
      </c>
    </row>
    <row r="195" spans="5:6" x14ac:dyDescent="0.3">
      <c r="E195" s="26">
        <v>44750</v>
      </c>
      <c r="F195" s="33">
        <v>2.8</v>
      </c>
    </row>
    <row r="196" spans="5:6" x14ac:dyDescent="0.3">
      <c r="E196" s="26">
        <v>44751</v>
      </c>
      <c r="F196" s="33">
        <v>0</v>
      </c>
    </row>
    <row r="197" spans="5:6" x14ac:dyDescent="0.3">
      <c r="E197" s="26">
        <v>44752</v>
      </c>
      <c r="F197" s="33">
        <v>0</v>
      </c>
    </row>
    <row r="198" spans="5:6" x14ac:dyDescent="0.3">
      <c r="E198" s="26">
        <v>44753</v>
      </c>
      <c r="F198" s="33">
        <v>7</v>
      </c>
    </row>
    <row r="199" spans="5:6" x14ac:dyDescent="0.3">
      <c r="E199" s="26">
        <v>44754</v>
      </c>
      <c r="F199" s="33">
        <v>19.5</v>
      </c>
    </row>
    <row r="200" spans="5:6" x14ac:dyDescent="0.3">
      <c r="E200" s="26">
        <v>44755</v>
      </c>
      <c r="F200" s="33">
        <v>8.5</v>
      </c>
    </row>
    <row r="201" spans="5:6" x14ac:dyDescent="0.3">
      <c r="E201" s="26">
        <v>44756</v>
      </c>
      <c r="F201" s="33">
        <v>0</v>
      </c>
    </row>
    <row r="202" spans="5:6" x14ac:dyDescent="0.3">
      <c r="E202" s="26">
        <v>44757</v>
      </c>
      <c r="F202" s="33">
        <v>4.2</v>
      </c>
    </row>
    <row r="203" spans="5:6" x14ac:dyDescent="0.3">
      <c r="E203" s="26">
        <v>44758</v>
      </c>
      <c r="F203" s="33">
        <v>2.1</v>
      </c>
    </row>
    <row r="204" spans="5:6" x14ac:dyDescent="0.3">
      <c r="E204" s="26">
        <v>44759</v>
      </c>
      <c r="F204" s="33">
        <v>3.2</v>
      </c>
    </row>
    <row r="205" spans="5:6" x14ac:dyDescent="0.3">
      <c r="E205" s="26">
        <v>44760</v>
      </c>
      <c r="F205" s="33">
        <v>2.7</v>
      </c>
    </row>
    <row r="206" spans="5:6" x14ac:dyDescent="0.3">
      <c r="E206" s="26">
        <v>44761</v>
      </c>
      <c r="F206" s="33">
        <v>2.9</v>
      </c>
    </row>
    <row r="207" spans="5:6" x14ac:dyDescent="0.3">
      <c r="E207" s="26">
        <v>44762</v>
      </c>
      <c r="F207" s="33">
        <v>2.8</v>
      </c>
    </row>
    <row r="208" spans="5:6" x14ac:dyDescent="0.3">
      <c r="E208" s="26">
        <v>44763</v>
      </c>
      <c r="F208" s="33">
        <v>6.1</v>
      </c>
    </row>
    <row r="209" spans="5:6" x14ac:dyDescent="0.3">
      <c r="E209" s="26">
        <v>44764</v>
      </c>
      <c r="F209" s="33">
        <v>15.5</v>
      </c>
    </row>
    <row r="210" spans="5:6" x14ac:dyDescent="0.3">
      <c r="E210" s="26">
        <v>44765</v>
      </c>
      <c r="F210" s="33">
        <v>12.5</v>
      </c>
    </row>
    <row r="211" spans="5:6" x14ac:dyDescent="0.3">
      <c r="E211" s="26">
        <v>44766</v>
      </c>
      <c r="F211" s="33">
        <v>40.5</v>
      </c>
    </row>
    <row r="212" spans="5:6" x14ac:dyDescent="0.3">
      <c r="E212" s="26">
        <v>44767</v>
      </c>
      <c r="F212" s="33">
        <v>1.5</v>
      </c>
    </row>
    <row r="213" spans="5:6" x14ac:dyDescent="0.3">
      <c r="E213" s="26">
        <v>44768</v>
      </c>
      <c r="F213" s="33">
        <v>13.5</v>
      </c>
    </row>
    <row r="214" spans="5:6" x14ac:dyDescent="0.3">
      <c r="E214" s="26">
        <v>44769</v>
      </c>
      <c r="F214" s="33">
        <v>33.5</v>
      </c>
    </row>
    <row r="215" spans="5:6" x14ac:dyDescent="0.3">
      <c r="E215" s="26">
        <v>44770</v>
      </c>
      <c r="F215" s="33">
        <v>2</v>
      </c>
    </row>
    <row r="216" spans="5:6" x14ac:dyDescent="0.3">
      <c r="E216" s="26">
        <v>44771</v>
      </c>
      <c r="F216" s="33">
        <v>0.2</v>
      </c>
    </row>
    <row r="217" spans="5:6" x14ac:dyDescent="0.3">
      <c r="E217" s="26">
        <v>44772</v>
      </c>
      <c r="F217" s="33">
        <v>0.7</v>
      </c>
    </row>
    <row r="218" spans="5:6" x14ac:dyDescent="0.3">
      <c r="E218" s="26">
        <v>44773</v>
      </c>
      <c r="F218" s="33">
        <v>0</v>
      </c>
    </row>
    <row r="219" spans="5:6" x14ac:dyDescent="0.3">
      <c r="E219" s="26">
        <v>44774</v>
      </c>
      <c r="F219" s="34">
        <v>13.9</v>
      </c>
    </row>
    <row r="220" spans="5:6" x14ac:dyDescent="0.3">
      <c r="E220" s="26">
        <v>44775</v>
      </c>
      <c r="F220" s="34">
        <v>35.200000000000003</v>
      </c>
    </row>
    <row r="221" spans="5:6" x14ac:dyDescent="0.3">
      <c r="E221" s="26">
        <v>44776</v>
      </c>
      <c r="F221" s="34">
        <v>19.600000000000001</v>
      </c>
    </row>
    <row r="222" spans="5:6" x14ac:dyDescent="0.3">
      <c r="E222" s="26">
        <v>44777</v>
      </c>
      <c r="F222" s="34">
        <v>13.5</v>
      </c>
    </row>
    <row r="223" spans="5:6" x14ac:dyDescent="0.3">
      <c r="E223" s="26">
        <v>44778</v>
      </c>
      <c r="F223" s="34">
        <v>11.7</v>
      </c>
    </row>
    <row r="224" spans="5:6" x14ac:dyDescent="0.3">
      <c r="E224" s="26">
        <v>44779</v>
      </c>
      <c r="F224" s="34">
        <v>2</v>
      </c>
    </row>
    <row r="225" spans="5:6" x14ac:dyDescent="0.3">
      <c r="E225" s="26">
        <v>44780</v>
      </c>
      <c r="F225" s="34">
        <v>6.8</v>
      </c>
    </row>
    <row r="226" spans="5:6" x14ac:dyDescent="0.3">
      <c r="E226" s="26">
        <v>44781</v>
      </c>
      <c r="F226" s="34">
        <v>4.4000000000000004</v>
      </c>
    </row>
    <row r="227" spans="5:6" x14ac:dyDescent="0.3">
      <c r="E227" s="26">
        <v>44782</v>
      </c>
      <c r="F227" s="34">
        <v>5.6</v>
      </c>
    </row>
    <row r="228" spans="5:6" x14ac:dyDescent="0.3">
      <c r="E228" s="26">
        <v>44783</v>
      </c>
      <c r="F228" s="34">
        <v>3.4</v>
      </c>
    </row>
    <row r="229" spans="5:6" x14ac:dyDescent="0.3">
      <c r="E229" s="26">
        <v>44784</v>
      </c>
      <c r="F229" s="34">
        <v>3</v>
      </c>
    </row>
    <row r="230" spans="5:6" x14ac:dyDescent="0.3">
      <c r="E230" s="26">
        <v>44785</v>
      </c>
      <c r="F230" s="34">
        <v>0</v>
      </c>
    </row>
    <row r="231" spans="5:6" x14ac:dyDescent="0.3">
      <c r="E231" s="26">
        <v>44786</v>
      </c>
      <c r="F231" s="34">
        <v>1</v>
      </c>
    </row>
    <row r="232" spans="5:6" x14ac:dyDescent="0.3">
      <c r="E232" s="26">
        <v>44787</v>
      </c>
      <c r="F232" s="34">
        <v>0.3</v>
      </c>
    </row>
    <row r="233" spans="5:6" x14ac:dyDescent="0.3">
      <c r="E233" s="26">
        <v>44788</v>
      </c>
      <c r="F233" s="34">
        <v>0</v>
      </c>
    </row>
    <row r="234" spans="5:6" x14ac:dyDescent="0.3">
      <c r="E234" s="26">
        <v>44789</v>
      </c>
      <c r="F234" s="34">
        <v>0.3</v>
      </c>
    </row>
    <row r="235" spans="5:6" x14ac:dyDescent="0.3">
      <c r="E235" s="26">
        <v>44790</v>
      </c>
      <c r="F235" s="34">
        <v>0.3</v>
      </c>
    </row>
    <row r="236" spans="5:6" x14ac:dyDescent="0.3">
      <c r="E236" s="26">
        <v>44791</v>
      </c>
      <c r="F236" s="34">
        <v>0.6</v>
      </c>
    </row>
    <row r="237" spans="5:6" x14ac:dyDescent="0.3">
      <c r="E237" s="26">
        <v>44792</v>
      </c>
      <c r="F237" s="34">
        <v>0.3</v>
      </c>
    </row>
    <row r="238" spans="5:6" x14ac:dyDescent="0.3">
      <c r="E238" s="26">
        <v>44793</v>
      </c>
      <c r="F238" s="34">
        <v>0</v>
      </c>
    </row>
    <row r="239" spans="5:6" x14ac:dyDescent="0.3">
      <c r="E239" s="26">
        <v>44794</v>
      </c>
      <c r="F239" s="34">
        <v>0.7</v>
      </c>
    </row>
    <row r="240" spans="5:6" x14ac:dyDescent="0.3">
      <c r="E240" s="26">
        <v>44795</v>
      </c>
      <c r="F240" s="34">
        <v>0</v>
      </c>
    </row>
    <row r="241" spans="5:6" x14ac:dyDescent="0.3">
      <c r="E241" s="26">
        <v>44796</v>
      </c>
      <c r="F241" s="34">
        <v>2.5</v>
      </c>
    </row>
    <row r="242" spans="5:6" x14ac:dyDescent="0.3">
      <c r="E242" s="26">
        <v>44797</v>
      </c>
      <c r="F242" s="34">
        <v>0.5</v>
      </c>
    </row>
    <row r="243" spans="5:6" x14ac:dyDescent="0.3">
      <c r="E243" s="26">
        <v>44798</v>
      </c>
      <c r="F243" s="34">
        <v>11.9</v>
      </c>
    </row>
    <row r="244" spans="5:6" x14ac:dyDescent="0.3">
      <c r="E244" s="26">
        <v>44799</v>
      </c>
      <c r="F244" s="34">
        <v>43</v>
      </c>
    </row>
    <row r="245" spans="5:6" x14ac:dyDescent="0.3">
      <c r="E245" s="26">
        <v>44800</v>
      </c>
      <c r="F245" s="34">
        <v>1.5</v>
      </c>
    </row>
    <row r="246" spans="5:6" x14ac:dyDescent="0.3">
      <c r="E246" s="26">
        <v>44801</v>
      </c>
      <c r="F246" s="34">
        <v>4</v>
      </c>
    </row>
    <row r="247" spans="5:6" x14ac:dyDescent="0.3">
      <c r="E247" s="26">
        <v>44802</v>
      </c>
      <c r="F247" s="34">
        <v>19.2</v>
      </c>
    </row>
    <row r="248" spans="5:6" x14ac:dyDescent="0.3">
      <c r="E248" s="26">
        <v>44803</v>
      </c>
      <c r="F248" s="34">
        <v>5</v>
      </c>
    </row>
    <row r="249" spans="5:6" x14ac:dyDescent="0.3">
      <c r="E249" s="26">
        <v>44804</v>
      </c>
      <c r="F249" s="34">
        <v>66.5</v>
      </c>
    </row>
    <row r="250" spans="5:6" x14ac:dyDescent="0.3">
      <c r="E250" s="26">
        <v>44805</v>
      </c>
      <c r="F250" s="35">
        <v>9.5</v>
      </c>
    </row>
    <row r="251" spans="5:6" x14ac:dyDescent="0.3">
      <c r="E251" s="26">
        <v>44806</v>
      </c>
      <c r="F251" s="35">
        <v>21.7</v>
      </c>
    </row>
    <row r="252" spans="5:6" x14ac:dyDescent="0.3">
      <c r="E252" s="26">
        <v>44807</v>
      </c>
      <c r="F252" s="35">
        <v>10.4</v>
      </c>
    </row>
    <row r="253" spans="5:6" x14ac:dyDescent="0.3">
      <c r="E253" s="26">
        <v>44808</v>
      </c>
      <c r="F253" s="35">
        <v>10.7</v>
      </c>
    </row>
    <row r="254" spans="5:6" x14ac:dyDescent="0.3">
      <c r="E254" s="26">
        <v>44809</v>
      </c>
      <c r="F254" s="35">
        <v>0</v>
      </c>
    </row>
    <row r="255" spans="5:6" x14ac:dyDescent="0.3">
      <c r="E255" s="26">
        <v>44810</v>
      </c>
      <c r="F255" s="35">
        <v>8</v>
      </c>
    </row>
    <row r="256" spans="5:6" x14ac:dyDescent="0.3">
      <c r="E256" s="26">
        <v>44811</v>
      </c>
      <c r="F256" s="35">
        <v>17</v>
      </c>
    </row>
    <row r="257" spans="5:6" x14ac:dyDescent="0.3">
      <c r="E257" s="26">
        <v>44812</v>
      </c>
      <c r="F257" s="35">
        <v>4.5</v>
      </c>
    </row>
    <row r="258" spans="5:6" x14ac:dyDescent="0.3">
      <c r="E258" s="26">
        <v>44813</v>
      </c>
      <c r="F258" s="35">
        <v>10.8</v>
      </c>
    </row>
    <row r="259" spans="5:6" x14ac:dyDescent="0.3">
      <c r="E259" s="26">
        <v>44814</v>
      </c>
      <c r="F259" s="35">
        <v>7.6</v>
      </c>
    </row>
    <row r="260" spans="5:6" x14ac:dyDescent="0.3">
      <c r="E260" s="26">
        <v>44815</v>
      </c>
      <c r="F260" s="35">
        <v>6.1</v>
      </c>
    </row>
    <row r="261" spans="5:6" x14ac:dyDescent="0.3">
      <c r="E261" s="26">
        <v>44816</v>
      </c>
      <c r="F261" s="35">
        <v>4.5999999999999996</v>
      </c>
    </row>
    <row r="262" spans="5:6" x14ac:dyDescent="0.3">
      <c r="E262" s="26">
        <v>44817</v>
      </c>
      <c r="F262" s="35">
        <v>0</v>
      </c>
    </row>
    <row r="263" spans="5:6" x14ac:dyDescent="0.3">
      <c r="E263" s="26">
        <v>44818</v>
      </c>
      <c r="F263" s="35">
        <v>2.2999999999999998</v>
      </c>
    </row>
    <row r="264" spans="5:6" x14ac:dyDescent="0.3">
      <c r="E264" s="26">
        <v>44819</v>
      </c>
      <c r="F264" s="35">
        <v>0.8</v>
      </c>
    </row>
    <row r="265" spans="5:6" x14ac:dyDescent="0.3">
      <c r="E265" s="26">
        <v>44820</v>
      </c>
      <c r="F265" s="35">
        <v>1</v>
      </c>
    </row>
    <row r="266" spans="5:6" x14ac:dyDescent="0.3">
      <c r="E266" s="26">
        <v>44821</v>
      </c>
      <c r="F266" s="35">
        <v>0</v>
      </c>
    </row>
    <row r="267" spans="5:6" x14ac:dyDescent="0.3">
      <c r="E267" s="26">
        <v>44822</v>
      </c>
      <c r="F267" s="35">
        <v>0.3</v>
      </c>
    </row>
    <row r="268" spans="5:6" x14ac:dyDescent="0.3">
      <c r="E268" s="26">
        <v>44823</v>
      </c>
      <c r="F268" s="35">
        <v>0</v>
      </c>
    </row>
    <row r="269" spans="5:6" x14ac:dyDescent="0.3">
      <c r="E269" s="26">
        <v>44824</v>
      </c>
      <c r="F269" s="35">
        <v>1.5</v>
      </c>
    </row>
    <row r="270" spans="5:6" x14ac:dyDescent="0.3">
      <c r="E270" s="26">
        <v>44825</v>
      </c>
      <c r="F270" s="35">
        <v>1.4</v>
      </c>
    </row>
    <row r="271" spans="5:6" x14ac:dyDescent="0.3">
      <c r="E271" s="26">
        <v>44826</v>
      </c>
      <c r="F271" s="35">
        <v>4.2</v>
      </c>
    </row>
    <row r="272" spans="5:6" x14ac:dyDescent="0.3">
      <c r="E272" s="26">
        <v>44827</v>
      </c>
      <c r="F272" s="35">
        <v>0</v>
      </c>
    </row>
    <row r="273" spans="5:6" x14ac:dyDescent="0.3">
      <c r="E273" s="26">
        <v>44828</v>
      </c>
      <c r="F273" s="35">
        <v>8.9</v>
      </c>
    </row>
    <row r="274" spans="5:6" x14ac:dyDescent="0.3">
      <c r="E274" s="26">
        <v>44829</v>
      </c>
      <c r="F274" s="35">
        <v>2.5</v>
      </c>
    </row>
    <row r="275" spans="5:6" x14ac:dyDescent="0.3">
      <c r="E275" s="26">
        <v>44830</v>
      </c>
      <c r="F275" s="35">
        <v>4.3</v>
      </c>
    </row>
    <row r="276" spans="5:6" x14ac:dyDescent="0.3">
      <c r="E276" s="26">
        <v>44831</v>
      </c>
      <c r="F276" s="35">
        <v>1.5</v>
      </c>
    </row>
    <row r="277" spans="5:6" x14ac:dyDescent="0.3">
      <c r="E277" s="26">
        <v>44832</v>
      </c>
      <c r="F277" s="35">
        <v>13.7</v>
      </c>
    </row>
    <row r="278" spans="5:6" x14ac:dyDescent="0.3">
      <c r="E278" s="26">
        <v>44833</v>
      </c>
      <c r="F278" s="35">
        <v>8.5</v>
      </c>
    </row>
    <row r="279" spans="5:6" x14ac:dyDescent="0.3">
      <c r="E279" s="26">
        <v>44834</v>
      </c>
      <c r="F279" s="35">
        <v>40.5</v>
      </c>
    </row>
    <row r="280" spans="5:6" x14ac:dyDescent="0.3">
      <c r="E280" s="26">
        <v>44835</v>
      </c>
      <c r="F280" s="36">
        <v>7.5</v>
      </c>
    </row>
    <row r="281" spans="5:6" x14ac:dyDescent="0.3">
      <c r="E281" s="26">
        <v>44836</v>
      </c>
      <c r="F281" s="36">
        <v>3.2</v>
      </c>
    </row>
    <row r="282" spans="5:6" x14ac:dyDescent="0.3">
      <c r="E282" s="26">
        <v>44837</v>
      </c>
      <c r="F282" s="36">
        <v>14.9</v>
      </c>
    </row>
    <row r="283" spans="5:6" x14ac:dyDescent="0.3">
      <c r="E283" s="26">
        <v>44838</v>
      </c>
      <c r="F283" s="36">
        <v>22.4</v>
      </c>
    </row>
    <row r="284" spans="5:6" x14ac:dyDescent="0.3">
      <c r="E284" s="26">
        <v>44839</v>
      </c>
      <c r="F284" s="36">
        <v>34</v>
      </c>
    </row>
    <row r="285" spans="5:6" x14ac:dyDescent="0.3">
      <c r="E285" s="26">
        <v>44840</v>
      </c>
      <c r="F285" s="36">
        <v>37.6</v>
      </c>
    </row>
    <row r="286" spans="5:6" x14ac:dyDescent="0.3">
      <c r="E286" s="26">
        <v>44841</v>
      </c>
      <c r="F286" s="36">
        <v>46</v>
      </c>
    </row>
    <row r="287" spans="5:6" x14ac:dyDescent="0.3">
      <c r="E287" s="26">
        <v>44842</v>
      </c>
      <c r="F287" s="36">
        <v>28.3</v>
      </c>
    </row>
    <row r="288" spans="5:6" x14ac:dyDescent="0.3">
      <c r="E288" s="26">
        <v>44843</v>
      </c>
      <c r="F288" s="36">
        <v>25.2</v>
      </c>
    </row>
    <row r="289" spans="5:6" x14ac:dyDescent="0.3">
      <c r="E289" s="26">
        <v>44844</v>
      </c>
      <c r="F289" s="36">
        <v>1.2</v>
      </c>
    </row>
    <row r="290" spans="5:6" x14ac:dyDescent="0.3">
      <c r="E290" s="26">
        <v>44845</v>
      </c>
      <c r="F290" s="36">
        <v>8.8000000000000007</v>
      </c>
    </row>
    <row r="291" spans="5:6" x14ac:dyDescent="0.3">
      <c r="E291" s="26">
        <v>44846</v>
      </c>
      <c r="F291" s="36">
        <v>3.3</v>
      </c>
    </row>
    <row r="292" spans="5:6" x14ac:dyDescent="0.3">
      <c r="E292" s="26">
        <v>44847</v>
      </c>
      <c r="F292" s="36">
        <v>0</v>
      </c>
    </row>
    <row r="293" spans="5:6" x14ac:dyDescent="0.3">
      <c r="E293" s="26">
        <v>44848</v>
      </c>
      <c r="F293" s="36">
        <v>14.9</v>
      </c>
    </row>
    <row r="294" spans="5:6" x14ac:dyDescent="0.3">
      <c r="E294" s="26">
        <v>44849</v>
      </c>
      <c r="F294" s="36">
        <v>5</v>
      </c>
    </row>
    <row r="295" spans="5:6" x14ac:dyDescent="0.3">
      <c r="E295" s="26">
        <v>44850</v>
      </c>
      <c r="F295" s="36">
        <v>51.2</v>
      </c>
    </row>
    <row r="296" spans="5:6" x14ac:dyDescent="0.3">
      <c r="E296" s="26">
        <v>44851</v>
      </c>
      <c r="F296" s="36">
        <v>16.2</v>
      </c>
    </row>
    <row r="297" spans="5:6" x14ac:dyDescent="0.3">
      <c r="E297" s="26">
        <v>44852</v>
      </c>
      <c r="F297" s="36">
        <v>36</v>
      </c>
    </row>
    <row r="298" spans="5:6" x14ac:dyDescent="0.3">
      <c r="E298" s="26">
        <v>44853</v>
      </c>
      <c r="F298" s="36">
        <v>34.5</v>
      </c>
    </row>
    <row r="299" spans="5:6" x14ac:dyDescent="0.3">
      <c r="E299" s="26">
        <v>44854</v>
      </c>
      <c r="F299" s="36">
        <v>43.5</v>
      </c>
    </row>
    <row r="300" spans="5:6" x14ac:dyDescent="0.3">
      <c r="E300" s="26">
        <v>44855</v>
      </c>
      <c r="F300" s="36">
        <v>7.5</v>
      </c>
    </row>
    <row r="301" spans="5:6" x14ac:dyDescent="0.3">
      <c r="E301" s="26">
        <v>44856</v>
      </c>
      <c r="F301" s="36">
        <v>23.2</v>
      </c>
    </row>
    <row r="302" spans="5:6" x14ac:dyDescent="0.3">
      <c r="E302" s="26">
        <v>44857</v>
      </c>
      <c r="F302" s="36">
        <v>16.399999999999999</v>
      </c>
    </row>
    <row r="303" spans="5:6" x14ac:dyDescent="0.3">
      <c r="E303" s="26">
        <v>44858</v>
      </c>
      <c r="F303" s="36">
        <v>18.600000000000001</v>
      </c>
    </row>
    <row r="304" spans="5:6" x14ac:dyDescent="0.3">
      <c r="E304" s="26">
        <v>44859</v>
      </c>
      <c r="F304" s="36">
        <v>8.8000000000000007</v>
      </c>
    </row>
    <row r="305" spans="5:6" x14ac:dyDescent="0.3">
      <c r="E305" s="26">
        <v>44860</v>
      </c>
      <c r="F305" s="36">
        <v>0</v>
      </c>
    </row>
    <row r="306" spans="5:6" x14ac:dyDescent="0.3">
      <c r="E306" s="26">
        <v>44861</v>
      </c>
      <c r="F306" s="36">
        <v>0</v>
      </c>
    </row>
    <row r="307" spans="5:6" x14ac:dyDescent="0.3">
      <c r="E307" s="26">
        <v>44862</v>
      </c>
      <c r="F307" s="36">
        <v>19.5</v>
      </c>
    </row>
    <row r="308" spans="5:6" x14ac:dyDescent="0.3">
      <c r="E308" s="26">
        <v>44863</v>
      </c>
      <c r="F308" s="36">
        <v>20.8</v>
      </c>
    </row>
    <row r="309" spans="5:6" x14ac:dyDescent="0.3">
      <c r="E309" s="26">
        <v>44864</v>
      </c>
      <c r="F309" s="36">
        <v>58.5</v>
      </c>
    </row>
    <row r="310" spans="5:6" x14ac:dyDescent="0.3">
      <c r="E310" s="26">
        <v>44865</v>
      </c>
      <c r="F310" s="36">
        <v>5</v>
      </c>
    </row>
    <row r="311" spans="5:6" x14ac:dyDescent="0.3">
      <c r="E311" s="26">
        <v>44866</v>
      </c>
      <c r="F311" s="37">
        <v>70.400000000000006</v>
      </c>
    </row>
    <row r="312" spans="5:6" x14ac:dyDescent="0.3">
      <c r="E312" s="26">
        <v>44867</v>
      </c>
      <c r="F312" s="37">
        <v>35.200000000000003</v>
      </c>
    </row>
    <row r="313" spans="5:6" x14ac:dyDescent="0.3">
      <c r="E313" s="26">
        <v>44868</v>
      </c>
      <c r="F313" s="37">
        <v>3.5</v>
      </c>
    </row>
    <row r="314" spans="5:6" x14ac:dyDescent="0.3">
      <c r="E314" s="26">
        <v>44869</v>
      </c>
      <c r="F314" s="37">
        <v>62</v>
      </c>
    </row>
    <row r="315" spans="5:6" x14ac:dyDescent="0.3">
      <c r="E315" s="26">
        <v>44870</v>
      </c>
      <c r="F315" s="37">
        <v>34.1</v>
      </c>
    </row>
    <row r="316" spans="5:6" x14ac:dyDescent="0.3">
      <c r="E316" s="26">
        <v>44871</v>
      </c>
      <c r="F316" s="37">
        <v>46.8</v>
      </c>
    </row>
    <row r="317" spans="5:6" x14ac:dyDescent="0.3">
      <c r="E317" s="26">
        <v>44872</v>
      </c>
      <c r="F317" s="37">
        <v>1.3</v>
      </c>
    </row>
    <row r="318" spans="5:6" x14ac:dyDescent="0.3">
      <c r="E318" s="26">
        <v>44873</v>
      </c>
      <c r="F318" s="37">
        <v>89.6</v>
      </c>
    </row>
    <row r="319" spans="5:6" x14ac:dyDescent="0.3">
      <c r="E319" s="26">
        <v>44874</v>
      </c>
      <c r="F319" s="37">
        <v>36.5</v>
      </c>
    </row>
    <row r="320" spans="5:6" x14ac:dyDescent="0.3">
      <c r="E320" s="26">
        <v>44875</v>
      </c>
      <c r="F320" s="37">
        <v>44.2</v>
      </c>
    </row>
    <row r="321" spans="5:6" x14ac:dyDescent="0.3">
      <c r="E321" s="26">
        <v>44876</v>
      </c>
      <c r="F321" s="37">
        <v>18.7</v>
      </c>
    </row>
    <row r="322" spans="5:6" x14ac:dyDescent="0.3">
      <c r="E322" s="26">
        <v>44877</v>
      </c>
      <c r="F322" s="37">
        <v>32</v>
      </c>
    </row>
    <row r="323" spans="5:6" x14ac:dyDescent="0.3">
      <c r="E323" s="26">
        <v>44878</v>
      </c>
      <c r="F323" s="37">
        <v>6</v>
      </c>
    </row>
    <row r="324" spans="5:6" x14ac:dyDescent="0.3">
      <c r="E324" s="26">
        <v>44879</v>
      </c>
      <c r="F324" s="37">
        <v>3.7</v>
      </c>
    </row>
    <row r="325" spans="5:6" x14ac:dyDescent="0.3">
      <c r="E325" s="26">
        <v>44880</v>
      </c>
      <c r="F325" s="37">
        <v>18.5</v>
      </c>
    </row>
    <row r="326" spans="5:6" x14ac:dyDescent="0.3">
      <c r="E326" s="26">
        <v>44881</v>
      </c>
      <c r="F326" s="37">
        <v>4</v>
      </c>
    </row>
    <row r="327" spans="5:6" x14ac:dyDescent="0.3">
      <c r="E327" s="26">
        <v>44882</v>
      </c>
      <c r="F327" s="37">
        <v>3</v>
      </c>
    </row>
    <row r="328" spans="5:6" x14ac:dyDescent="0.3">
      <c r="E328" s="26">
        <v>44883</v>
      </c>
      <c r="F328" s="37">
        <v>1.3</v>
      </c>
    </row>
    <row r="329" spans="5:6" x14ac:dyDescent="0.3">
      <c r="E329" s="26">
        <v>44884</v>
      </c>
      <c r="F329" s="37">
        <v>0</v>
      </c>
    </row>
    <row r="330" spans="5:6" x14ac:dyDescent="0.3">
      <c r="E330" s="26">
        <v>44885</v>
      </c>
      <c r="F330" s="37">
        <v>0</v>
      </c>
    </row>
    <row r="331" spans="5:6" x14ac:dyDescent="0.3">
      <c r="E331" s="26">
        <v>44886</v>
      </c>
      <c r="F331" s="37">
        <v>0</v>
      </c>
    </row>
    <row r="332" spans="5:6" x14ac:dyDescent="0.3">
      <c r="E332" s="26">
        <v>44887</v>
      </c>
      <c r="F332" s="37">
        <v>5.0999999999999996</v>
      </c>
    </row>
    <row r="333" spans="5:6" x14ac:dyDescent="0.3">
      <c r="E333" s="26">
        <v>44888</v>
      </c>
      <c r="F333" s="37">
        <v>5.4</v>
      </c>
    </row>
    <row r="334" spans="5:6" x14ac:dyDescent="0.3">
      <c r="E334" s="26">
        <v>44889</v>
      </c>
      <c r="F334" s="37">
        <v>15.3</v>
      </c>
    </row>
    <row r="335" spans="5:6" x14ac:dyDescent="0.3">
      <c r="E335" s="26">
        <v>44890</v>
      </c>
      <c r="F335" s="37">
        <v>1</v>
      </c>
    </row>
    <row r="336" spans="5:6" x14ac:dyDescent="0.3">
      <c r="E336" s="26">
        <v>44891</v>
      </c>
      <c r="F336" s="37">
        <v>5.4</v>
      </c>
    </row>
    <row r="337" spans="5:6" x14ac:dyDescent="0.3">
      <c r="E337" s="26">
        <v>44892</v>
      </c>
      <c r="F337" s="37">
        <v>2.1</v>
      </c>
    </row>
    <row r="338" spans="5:6" x14ac:dyDescent="0.3">
      <c r="E338" s="26">
        <v>44893</v>
      </c>
      <c r="F338" s="37">
        <v>0</v>
      </c>
    </row>
    <row r="339" spans="5:6" x14ac:dyDescent="0.3">
      <c r="E339" s="26">
        <v>44894</v>
      </c>
      <c r="F339" s="37">
        <v>5.5</v>
      </c>
    </row>
    <row r="340" spans="5:6" x14ac:dyDescent="0.3">
      <c r="E340" s="26">
        <v>44895</v>
      </c>
      <c r="F340" s="37">
        <v>1.6</v>
      </c>
    </row>
    <row r="341" spans="5:6" x14ac:dyDescent="0.3">
      <c r="E341" s="26">
        <v>44896</v>
      </c>
      <c r="F341" s="38">
        <v>18.2</v>
      </c>
    </row>
    <row r="342" spans="5:6" x14ac:dyDescent="0.3">
      <c r="E342" s="26">
        <v>44897</v>
      </c>
      <c r="F342" s="38">
        <v>6.6</v>
      </c>
    </row>
    <row r="343" spans="5:6" x14ac:dyDescent="0.3">
      <c r="E343" s="26">
        <v>44898</v>
      </c>
      <c r="F343" s="38">
        <v>6.2</v>
      </c>
    </row>
    <row r="344" spans="5:6" x14ac:dyDescent="0.3">
      <c r="E344" s="26">
        <v>44899</v>
      </c>
      <c r="F344" s="38">
        <v>0</v>
      </c>
    </row>
    <row r="345" spans="5:6" x14ac:dyDescent="0.3">
      <c r="E345" s="26">
        <v>44900</v>
      </c>
      <c r="F345" s="38">
        <v>0</v>
      </c>
    </row>
    <row r="346" spans="5:6" x14ac:dyDescent="0.3">
      <c r="E346" s="26">
        <v>44901</v>
      </c>
      <c r="F346" s="38">
        <v>8.9</v>
      </c>
    </row>
    <row r="347" spans="5:6" x14ac:dyDescent="0.3">
      <c r="E347" s="26">
        <v>44902</v>
      </c>
      <c r="F347" s="38">
        <v>11.9</v>
      </c>
    </row>
    <row r="348" spans="5:6" x14ac:dyDescent="0.3">
      <c r="E348" s="26">
        <v>44903</v>
      </c>
      <c r="F348" s="38">
        <v>26.8</v>
      </c>
    </row>
    <row r="349" spans="5:6" x14ac:dyDescent="0.3">
      <c r="E349" s="26">
        <v>44904</v>
      </c>
      <c r="F349" s="38">
        <v>29.4</v>
      </c>
    </row>
    <row r="350" spans="5:6" x14ac:dyDescent="0.3">
      <c r="E350" s="26">
        <v>44905</v>
      </c>
      <c r="F350" s="38">
        <v>30.4</v>
      </c>
    </row>
    <row r="351" spans="5:6" x14ac:dyDescent="0.3">
      <c r="E351" s="26">
        <v>44906</v>
      </c>
      <c r="F351" s="38">
        <v>49.6</v>
      </c>
    </row>
    <row r="352" spans="5:6" x14ac:dyDescent="0.3">
      <c r="E352" s="26">
        <v>44907</v>
      </c>
      <c r="F352" s="38">
        <v>15.8</v>
      </c>
    </row>
    <row r="353" spans="5:6" x14ac:dyDescent="0.3">
      <c r="E353" s="26">
        <v>44908</v>
      </c>
      <c r="F353" s="38">
        <v>19.600000000000001</v>
      </c>
    </row>
    <row r="354" spans="5:6" x14ac:dyDescent="0.3">
      <c r="E354" s="26">
        <v>44909</v>
      </c>
      <c r="F354" s="38">
        <v>126.4</v>
      </c>
    </row>
    <row r="355" spans="5:6" x14ac:dyDescent="0.3">
      <c r="E355" s="26">
        <v>44910</v>
      </c>
      <c r="F355" s="38">
        <v>34.299999999999997</v>
      </c>
    </row>
    <row r="356" spans="5:6" x14ac:dyDescent="0.3">
      <c r="E356" s="26">
        <v>44911</v>
      </c>
      <c r="F356" s="38">
        <v>4</v>
      </c>
    </row>
    <row r="357" spans="5:6" x14ac:dyDescent="0.3">
      <c r="E357" s="26">
        <v>44912</v>
      </c>
      <c r="F357" s="38">
        <v>1</v>
      </c>
    </row>
    <row r="358" spans="5:6" x14ac:dyDescent="0.3">
      <c r="E358" s="26">
        <v>44913</v>
      </c>
      <c r="F358" s="38">
        <v>19</v>
      </c>
    </row>
    <row r="359" spans="5:6" x14ac:dyDescent="0.3">
      <c r="E359" s="26">
        <v>44914</v>
      </c>
      <c r="F359" s="38">
        <v>70.3</v>
      </c>
    </row>
    <row r="360" spans="5:6" x14ac:dyDescent="0.3">
      <c r="E360" s="26">
        <v>44915</v>
      </c>
      <c r="F360" s="38">
        <v>26.9</v>
      </c>
    </row>
    <row r="361" spans="5:6" x14ac:dyDescent="0.3">
      <c r="E361" s="26">
        <v>44916</v>
      </c>
      <c r="F361" s="38">
        <v>6</v>
      </c>
    </row>
    <row r="362" spans="5:6" x14ac:dyDescent="0.3">
      <c r="E362" s="26">
        <v>44917</v>
      </c>
      <c r="F362" s="38">
        <v>21.5</v>
      </c>
    </row>
    <row r="363" spans="5:6" x14ac:dyDescent="0.3">
      <c r="E363" s="26">
        <v>44918</v>
      </c>
      <c r="F363" s="38">
        <v>13.8</v>
      </c>
    </row>
    <row r="364" spans="5:6" x14ac:dyDescent="0.3">
      <c r="E364" s="26">
        <v>44919</v>
      </c>
      <c r="F364" s="38">
        <v>12</v>
      </c>
    </row>
    <row r="365" spans="5:6" x14ac:dyDescent="0.3">
      <c r="E365" s="26">
        <v>44920</v>
      </c>
      <c r="F365" s="38">
        <v>6.7</v>
      </c>
    </row>
    <row r="366" spans="5:6" x14ac:dyDescent="0.3">
      <c r="E366" s="26">
        <v>44921</v>
      </c>
      <c r="F366" s="38">
        <v>0.9</v>
      </c>
    </row>
    <row r="367" spans="5:6" x14ac:dyDescent="0.3">
      <c r="E367" s="26">
        <v>44922</v>
      </c>
      <c r="F367" s="38">
        <v>0</v>
      </c>
    </row>
    <row r="368" spans="5:6" x14ac:dyDescent="0.3">
      <c r="E368" s="26">
        <v>44923</v>
      </c>
      <c r="F368" s="38">
        <v>7.5</v>
      </c>
    </row>
    <row r="369" spans="5:6" x14ac:dyDescent="0.3">
      <c r="E369" s="26">
        <v>44924</v>
      </c>
      <c r="F369" s="38">
        <v>9.6999999999999993</v>
      </c>
    </row>
    <row r="370" spans="5:6" x14ac:dyDescent="0.3">
      <c r="E370" s="26">
        <v>44925</v>
      </c>
      <c r="F370" s="38">
        <v>21.5</v>
      </c>
    </row>
    <row r="371" spans="5:6" x14ac:dyDescent="0.3">
      <c r="E371" s="26">
        <v>44926</v>
      </c>
      <c r="F371" s="38">
        <v>10.4</v>
      </c>
    </row>
    <row r="372" spans="5:6" x14ac:dyDescent="0.3">
      <c r="E372" s="26">
        <v>44927</v>
      </c>
      <c r="F372" s="39">
        <v>10.6</v>
      </c>
    </row>
    <row r="373" spans="5:6" x14ac:dyDescent="0.3">
      <c r="E373" s="26">
        <v>44928</v>
      </c>
      <c r="F373" s="39">
        <v>0</v>
      </c>
    </row>
    <row r="374" spans="5:6" x14ac:dyDescent="0.3">
      <c r="E374" s="26">
        <v>44929</v>
      </c>
      <c r="F374" s="39">
        <v>5.3</v>
      </c>
    </row>
    <row r="375" spans="5:6" x14ac:dyDescent="0.3">
      <c r="E375" s="26">
        <v>44930</v>
      </c>
      <c r="F375" s="39">
        <v>2.7</v>
      </c>
    </row>
    <row r="376" spans="5:6" x14ac:dyDescent="0.3">
      <c r="E376" s="26">
        <v>44931</v>
      </c>
      <c r="F376" s="39">
        <v>4</v>
      </c>
    </row>
    <row r="377" spans="5:6" x14ac:dyDescent="0.3">
      <c r="E377" s="26">
        <v>44932</v>
      </c>
      <c r="F377" s="39">
        <v>4.4000000000000004</v>
      </c>
    </row>
    <row r="378" spans="5:6" x14ac:dyDescent="0.3">
      <c r="E378" s="26">
        <v>44933</v>
      </c>
      <c r="F378" s="39">
        <v>3.7</v>
      </c>
    </row>
    <row r="379" spans="5:6" x14ac:dyDescent="0.3">
      <c r="E379" s="26">
        <v>44934</v>
      </c>
      <c r="F379" s="39">
        <v>6.5</v>
      </c>
    </row>
    <row r="380" spans="5:6" x14ac:dyDescent="0.3">
      <c r="E380" s="26">
        <v>44935</v>
      </c>
      <c r="F380" s="39">
        <v>0</v>
      </c>
    </row>
    <row r="381" spans="5:6" x14ac:dyDescent="0.3">
      <c r="E381" s="26">
        <v>44936</v>
      </c>
      <c r="F381" s="39">
        <v>0</v>
      </c>
    </row>
    <row r="382" spans="5:6" x14ac:dyDescent="0.3">
      <c r="E382" s="26">
        <v>44937</v>
      </c>
      <c r="F382" s="39">
        <v>0</v>
      </c>
    </row>
    <row r="383" spans="5:6" x14ac:dyDescent="0.3">
      <c r="E383" s="26">
        <v>44938</v>
      </c>
      <c r="F383" s="39">
        <v>5.9</v>
      </c>
    </row>
    <row r="384" spans="5:6" x14ac:dyDescent="0.3">
      <c r="E384" s="26">
        <v>44939</v>
      </c>
      <c r="F384" s="39">
        <v>7.9</v>
      </c>
    </row>
    <row r="385" spans="5:6" x14ac:dyDescent="0.3">
      <c r="E385" s="26">
        <v>44940</v>
      </c>
      <c r="F385" s="39">
        <v>17.8</v>
      </c>
    </row>
    <row r="386" spans="5:6" x14ac:dyDescent="0.3">
      <c r="E386" s="26">
        <v>44941</v>
      </c>
      <c r="F386" s="39">
        <v>8.6</v>
      </c>
    </row>
    <row r="387" spans="5:6" x14ac:dyDescent="0.3">
      <c r="E387" s="26">
        <v>44942</v>
      </c>
      <c r="F387" s="39">
        <v>0</v>
      </c>
    </row>
    <row r="388" spans="5:6" x14ac:dyDescent="0.3">
      <c r="E388" s="26">
        <v>44943</v>
      </c>
      <c r="F388" s="39">
        <v>2.9</v>
      </c>
    </row>
    <row r="389" spans="5:6" x14ac:dyDescent="0.3">
      <c r="E389" s="26">
        <v>44944</v>
      </c>
      <c r="F389" s="39">
        <v>0</v>
      </c>
    </row>
    <row r="390" spans="5:6" x14ac:dyDescent="0.3">
      <c r="E390" s="26">
        <v>44945</v>
      </c>
      <c r="F390" s="39">
        <v>26.8</v>
      </c>
    </row>
    <row r="391" spans="5:6" x14ac:dyDescent="0.3">
      <c r="E391" s="26">
        <v>44946</v>
      </c>
      <c r="F391" s="39">
        <v>58.6</v>
      </c>
    </row>
    <row r="392" spans="5:6" x14ac:dyDescent="0.3">
      <c r="E392" s="26">
        <v>44947</v>
      </c>
      <c r="F392" s="39">
        <v>77.5</v>
      </c>
    </row>
    <row r="393" spans="5:6" x14ac:dyDescent="0.3">
      <c r="E393" s="26">
        <v>44948</v>
      </c>
      <c r="F393" s="39">
        <v>130</v>
      </c>
    </row>
    <row r="394" spans="5:6" x14ac:dyDescent="0.3">
      <c r="E394" s="26">
        <v>44949</v>
      </c>
      <c r="F394" s="39">
        <v>23.5</v>
      </c>
    </row>
    <row r="395" spans="5:6" x14ac:dyDescent="0.3">
      <c r="E395" s="26">
        <v>44950</v>
      </c>
      <c r="F395" s="39">
        <v>57.6</v>
      </c>
    </row>
    <row r="396" spans="5:6" x14ac:dyDescent="0.3">
      <c r="E396" s="26">
        <v>44951</v>
      </c>
      <c r="F396" s="39">
        <v>2.8</v>
      </c>
    </row>
    <row r="397" spans="5:6" x14ac:dyDescent="0.3">
      <c r="E397" s="26">
        <v>44952</v>
      </c>
      <c r="F397" s="39">
        <v>101.4</v>
      </c>
    </row>
    <row r="398" spans="5:6" x14ac:dyDescent="0.3">
      <c r="E398" s="26">
        <v>44953</v>
      </c>
      <c r="F398" s="39">
        <v>71.8</v>
      </c>
    </row>
    <row r="399" spans="5:6" x14ac:dyDescent="0.3">
      <c r="E399" s="26">
        <v>44954</v>
      </c>
      <c r="F399" s="39">
        <v>80</v>
      </c>
    </row>
    <row r="400" spans="5:6" x14ac:dyDescent="0.3">
      <c r="E400" s="26">
        <v>44955</v>
      </c>
      <c r="F400" s="39">
        <v>14.5</v>
      </c>
    </row>
    <row r="401" spans="5:6" x14ac:dyDescent="0.3">
      <c r="E401" s="26">
        <v>44956</v>
      </c>
      <c r="F401" s="39">
        <v>16.8</v>
      </c>
    </row>
    <row r="402" spans="5:6" x14ac:dyDescent="0.3">
      <c r="E402" s="26">
        <v>44957</v>
      </c>
      <c r="F402" s="39">
        <v>3.5</v>
      </c>
    </row>
    <row r="403" spans="5:6" x14ac:dyDescent="0.3">
      <c r="E403" s="26">
        <v>44958</v>
      </c>
      <c r="F403" s="40">
        <v>52.3</v>
      </c>
    </row>
    <row r="404" spans="5:6" x14ac:dyDescent="0.3">
      <c r="E404" s="26">
        <v>44959</v>
      </c>
      <c r="F404" s="40">
        <v>20.399999999999999</v>
      </c>
    </row>
    <row r="405" spans="5:6" x14ac:dyDescent="0.3">
      <c r="E405" s="26">
        <v>44960</v>
      </c>
      <c r="F405" s="40">
        <v>24</v>
      </c>
    </row>
    <row r="406" spans="5:6" x14ac:dyDescent="0.3">
      <c r="E406" s="26">
        <v>44961</v>
      </c>
      <c r="F406" s="40">
        <v>5.5</v>
      </c>
    </row>
    <row r="407" spans="5:6" x14ac:dyDescent="0.3">
      <c r="E407" s="26">
        <v>44962</v>
      </c>
      <c r="F407" s="40">
        <v>17.8</v>
      </c>
    </row>
    <row r="408" spans="5:6" x14ac:dyDescent="0.3">
      <c r="E408" s="26">
        <v>44963</v>
      </c>
      <c r="F408" s="40">
        <v>15</v>
      </c>
    </row>
    <row r="409" spans="5:6" x14ac:dyDescent="0.3">
      <c r="E409" s="26">
        <v>44964</v>
      </c>
      <c r="F409" s="40">
        <v>13.7</v>
      </c>
    </row>
    <row r="410" spans="5:6" x14ac:dyDescent="0.3">
      <c r="E410" s="26">
        <v>44965</v>
      </c>
      <c r="F410" s="40">
        <v>8.1999999999999993</v>
      </c>
    </row>
    <row r="411" spans="5:6" x14ac:dyDescent="0.3">
      <c r="E411" s="26">
        <v>44966</v>
      </c>
      <c r="F411" s="40">
        <v>74</v>
      </c>
    </row>
    <row r="412" spans="5:6" x14ac:dyDescent="0.3">
      <c r="E412" s="26">
        <v>44967</v>
      </c>
      <c r="F412" s="40">
        <v>94.1</v>
      </c>
    </row>
    <row r="413" spans="5:6" x14ac:dyDescent="0.3">
      <c r="E413" s="26">
        <v>44968</v>
      </c>
      <c r="F413" s="40">
        <v>200</v>
      </c>
    </row>
    <row r="414" spans="5:6" x14ac:dyDescent="0.3">
      <c r="E414" s="26">
        <v>44969</v>
      </c>
      <c r="F414" s="40">
        <v>98.9</v>
      </c>
    </row>
    <row r="415" spans="5:6" x14ac:dyDescent="0.3">
      <c r="E415" s="26">
        <v>44970</v>
      </c>
      <c r="F415" s="40">
        <v>2.5</v>
      </c>
    </row>
    <row r="416" spans="5:6" x14ac:dyDescent="0.3">
      <c r="E416" s="26">
        <v>44971</v>
      </c>
      <c r="F416" s="40">
        <v>34.799999999999997</v>
      </c>
    </row>
    <row r="417" spans="5:6" x14ac:dyDescent="0.3">
      <c r="E417" s="26">
        <v>44972</v>
      </c>
      <c r="F417" s="40">
        <v>2.9</v>
      </c>
    </row>
    <row r="418" spans="5:6" x14ac:dyDescent="0.3">
      <c r="E418" s="26">
        <v>44973</v>
      </c>
      <c r="F418" s="40">
        <v>19.5</v>
      </c>
    </row>
    <row r="419" spans="5:6" x14ac:dyDescent="0.3">
      <c r="E419" s="26">
        <v>44974</v>
      </c>
      <c r="F419" s="40">
        <v>8.3000000000000007</v>
      </c>
    </row>
    <row r="420" spans="5:6" x14ac:dyDescent="0.3">
      <c r="E420" s="26">
        <v>44975</v>
      </c>
      <c r="F420" s="40">
        <v>31.9</v>
      </c>
    </row>
    <row r="421" spans="5:6" x14ac:dyDescent="0.3">
      <c r="E421" s="26">
        <v>44976</v>
      </c>
      <c r="F421" s="40">
        <v>0</v>
      </c>
    </row>
    <row r="422" spans="5:6" x14ac:dyDescent="0.3">
      <c r="E422" s="26">
        <v>44977</v>
      </c>
      <c r="F422" s="40">
        <v>0</v>
      </c>
    </row>
    <row r="423" spans="5:6" x14ac:dyDescent="0.3">
      <c r="E423" s="26">
        <v>44978</v>
      </c>
      <c r="F423" s="40">
        <v>0.7</v>
      </c>
    </row>
    <row r="424" spans="5:6" x14ac:dyDescent="0.3">
      <c r="E424" s="26">
        <v>44979</v>
      </c>
      <c r="F424" s="40">
        <v>0.7</v>
      </c>
    </row>
    <row r="425" spans="5:6" x14ac:dyDescent="0.3">
      <c r="E425" s="26">
        <v>44980</v>
      </c>
      <c r="F425" s="40">
        <v>2</v>
      </c>
    </row>
    <row r="426" spans="5:6" x14ac:dyDescent="0.3">
      <c r="E426" s="26">
        <v>44981</v>
      </c>
      <c r="F426" s="40">
        <v>0</v>
      </c>
    </row>
    <row r="427" spans="5:6" x14ac:dyDescent="0.3">
      <c r="E427" s="26">
        <v>44982</v>
      </c>
      <c r="F427" s="40">
        <v>0</v>
      </c>
    </row>
    <row r="428" spans="5:6" x14ac:dyDescent="0.3">
      <c r="E428" s="26">
        <v>44983</v>
      </c>
      <c r="F428" s="40">
        <v>0</v>
      </c>
    </row>
    <row r="429" spans="5:6" x14ac:dyDescent="0.3">
      <c r="E429" s="26">
        <v>44984</v>
      </c>
      <c r="F429" s="40">
        <v>9.5</v>
      </c>
    </row>
    <row r="430" spans="5:6" x14ac:dyDescent="0.3">
      <c r="E430" s="26">
        <v>44985</v>
      </c>
      <c r="F430" s="40">
        <v>4.5999999999999996</v>
      </c>
    </row>
    <row r="431" spans="5:6" x14ac:dyDescent="0.3">
      <c r="E431" s="26">
        <v>44986</v>
      </c>
      <c r="F431" s="41">
        <v>7.4</v>
      </c>
    </row>
    <row r="432" spans="5:6" x14ac:dyDescent="0.3">
      <c r="E432" s="26">
        <v>44987</v>
      </c>
      <c r="F432" s="41">
        <v>1.5</v>
      </c>
    </row>
    <row r="433" spans="5:6" x14ac:dyDescent="0.3">
      <c r="E433" s="26">
        <v>44988</v>
      </c>
      <c r="F433" s="41">
        <v>0</v>
      </c>
    </row>
    <row r="434" spans="5:6" x14ac:dyDescent="0.3">
      <c r="E434" s="26">
        <v>44989</v>
      </c>
      <c r="F434" s="41">
        <v>0.5</v>
      </c>
    </row>
    <row r="435" spans="5:6" x14ac:dyDescent="0.3">
      <c r="E435" s="26">
        <v>44990</v>
      </c>
      <c r="F435" s="41">
        <v>0</v>
      </c>
    </row>
    <row r="436" spans="5:6" x14ac:dyDescent="0.3">
      <c r="E436" s="26">
        <v>44991</v>
      </c>
      <c r="F436" s="41">
        <v>0.2</v>
      </c>
    </row>
    <row r="437" spans="5:6" x14ac:dyDescent="0.3">
      <c r="E437" s="26">
        <v>44992</v>
      </c>
      <c r="F437" s="41">
        <v>0</v>
      </c>
    </row>
    <row r="438" spans="5:6" x14ac:dyDescent="0.3">
      <c r="E438" s="26">
        <v>44993</v>
      </c>
      <c r="F438" s="41">
        <v>0.1</v>
      </c>
    </row>
    <row r="439" spans="5:6" x14ac:dyDescent="0.3">
      <c r="E439" s="26">
        <v>44994</v>
      </c>
      <c r="F439" s="41">
        <v>0</v>
      </c>
    </row>
    <row r="440" spans="5:6" x14ac:dyDescent="0.3">
      <c r="E440" s="26">
        <v>44995</v>
      </c>
      <c r="F440" s="41">
        <v>29.2</v>
      </c>
    </row>
    <row r="441" spans="5:6" x14ac:dyDescent="0.3">
      <c r="E441" s="26">
        <v>44996</v>
      </c>
      <c r="F441" s="41">
        <v>112.5</v>
      </c>
    </row>
    <row r="442" spans="5:6" x14ac:dyDescent="0.3">
      <c r="E442" s="26">
        <v>44997</v>
      </c>
      <c r="F442" s="41">
        <v>4.2</v>
      </c>
    </row>
    <row r="443" spans="5:6" x14ac:dyDescent="0.3">
      <c r="E443" s="26">
        <v>44998</v>
      </c>
      <c r="F443" s="41">
        <v>46.5</v>
      </c>
    </row>
    <row r="444" spans="5:6" x14ac:dyDescent="0.3">
      <c r="E444" s="26">
        <v>44999</v>
      </c>
      <c r="F444" s="41">
        <v>12.7</v>
      </c>
    </row>
    <row r="445" spans="5:6" x14ac:dyDescent="0.3">
      <c r="E445" s="26">
        <v>45000</v>
      </c>
      <c r="F445" s="41">
        <v>0</v>
      </c>
    </row>
    <row r="446" spans="5:6" x14ac:dyDescent="0.3">
      <c r="E446" s="26">
        <v>45001</v>
      </c>
      <c r="F446" s="41">
        <v>0</v>
      </c>
    </row>
    <row r="447" spans="5:6" x14ac:dyDescent="0.3">
      <c r="E447" s="26">
        <v>45002</v>
      </c>
      <c r="F447" s="41">
        <v>0</v>
      </c>
    </row>
    <row r="448" spans="5:6" x14ac:dyDescent="0.3">
      <c r="E448" s="26">
        <v>45003</v>
      </c>
      <c r="F448" s="41">
        <v>0</v>
      </c>
    </row>
    <row r="449" spans="5:6" x14ac:dyDescent="0.3">
      <c r="E449" s="26">
        <v>45004</v>
      </c>
      <c r="F449" s="41">
        <v>10.8</v>
      </c>
    </row>
    <row r="450" spans="5:6" x14ac:dyDescent="0.3">
      <c r="E450" s="26">
        <v>45005</v>
      </c>
      <c r="F450" s="41">
        <v>10.8</v>
      </c>
    </row>
    <row r="451" spans="5:6" x14ac:dyDescent="0.3">
      <c r="E451" s="26">
        <v>45006</v>
      </c>
      <c r="F451" s="41">
        <v>32.5</v>
      </c>
    </row>
    <row r="452" spans="5:6" x14ac:dyDescent="0.3">
      <c r="E452" s="26">
        <v>45007</v>
      </c>
      <c r="F452" s="41">
        <v>0</v>
      </c>
    </row>
    <row r="453" spans="5:6" x14ac:dyDescent="0.3">
      <c r="E453" s="26">
        <v>45008</v>
      </c>
      <c r="F453" s="41">
        <v>0</v>
      </c>
    </row>
    <row r="454" spans="5:6" x14ac:dyDescent="0.3">
      <c r="E454" s="26">
        <v>45009</v>
      </c>
      <c r="F454" s="41">
        <v>0</v>
      </c>
    </row>
    <row r="455" spans="5:6" x14ac:dyDescent="0.3">
      <c r="E455" s="26">
        <v>45010</v>
      </c>
      <c r="F455" s="41">
        <v>0</v>
      </c>
    </row>
    <row r="456" spans="5:6" x14ac:dyDescent="0.3">
      <c r="E456" s="26">
        <v>45011</v>
      </c>
      <c r="F456" s="41">
        <v>12.2</v>
      </c>
    </row>
    <row r="457" spans="5:6" x14ac:dyDescent="0.3">
      <c r="E457" s="26">
        <v>45012</v>
      </c>
      <c r="F457" s="41">
        <v>0</v>
      </c>
    </row>
    <row r="458" spans="5:6" x14ac:dyDescent="0.3">
      <c r="E458" s="26">
        <v>45013</v>
      </c>
      <c r="F458" s="41">
        <v>49</v>
      </c>
    </row>
    <row r="459" spans="5:6" x14ac:dyDescent="0.3">
      <c r="E459" s="26">
        <v>45014</v>
      </c>
      <c r="F459" s="41">
        <v>0</v>
      </c>
    </row>
    <row r="460" spans="5:6" x14ac:dyDescent="0.3">
      <c r="E460" s="26">
        <v>45015</v>
      </c>
      <c r="F460" s="41">
        <v>16.3</v>
      </c>
    </row>
    <row r="461" spans="5:6" x14ac:dyDescent="0.3">
      <c r="E461" s="26">
        <v>45016</v>
      </c>
      <c r="F461" s="41">
        <v>0</v>
      </c>
    </row>
    <row r="462" spans="5:6" x14ac:dyDescent="0.3">
      <c r="E462" s="26">
        <v>45017</v>
      </c>
      <c r="F462" s="42">
        <v>4.0999999999999996</v>
      </c>
    </row>
    <row r="463" spans="5:6" x14ac:dyDescent="0.3">
      <c r="E463" s="26">
        <v>45018</v>
      </c>
      <c r="F463" s="42">
        <v>0</v>
      </c>
    </row>
    <row r="464" spans="5:6" x14ac:dyDescent="0.3">
      <c r="E464" s="26">
        <v>45019</v>
      </c>
      <c r="F464" s="42">
        <v>0</v>
      </c>
    </row>
    <row r="465" spans="5:6" x14ac:dyDescent="0.3">
      <c r="E465" s="26">
        <v>45020</v>
      </c>
      <c r="F465" s="42">
        <v>0</v>
      </c>
    </row>
    <row r="466" spans="5:6" x14ac:dyDescent="0.3">
      <c r="E466" s="26">
        <v>45021</v>
      </c>
      <c r="F466" s="42">
        <v>0</v>
      </c>
    </row>
    <row r="467" spans="5:6" x14ac:dyDescent="0.3">
      <c r="E467" s="26">
        <v>45022</v>
      </c>
      <c r="F467" s="42">
        <v>0</v>
      </c>
    </row>
    <row r="468" spans="5:6" x14ac:dyDescent="0.3">
      <c r="E468" s="26">
        <v>45023</v>
      </c>
      <c r="F468" s="42">
        <v>11.2</v>
      </c>
    </row>
    <row r="469" spans="5:6" x14ac:dyDescent="0.3">
      <c r="E469" s="26">
        <v>45024</v>
      </c>
      <c r="F469" s="42">
        <v>45</v>
      </c>
    </row>
    <row r="470" spans="5:6" x14ac:dyDescent="0.3">
      <c r="E470" s="26">
        <v>45025</v>
      </c>
      <c r="F470" s="42">
        <v>0</v>
      </c>
    </row>
    <row r="471" spans="5:6" x14ac:dyDescent="0.3">
      <c r="E471" s="26">
        <v>45026</v>
      </c>
      <c r="F471" s="42">
        <v>0</v>
      </c>
    </row>
    <row r="472" spans="5:6" x14ac:dyDescent="0.3">
      <c r="E472" s="26">
        <v>45027</v>
      </c>
      <c r="F472" s="42">
        <v>0</v>
      </c>
    </row>
    <row r="473" spans="5:6" x14ac:dyDescent="0.3">
      <c r="E473" s="26">
        <v>45028</v>
      </c>
      <c r="F473" s="42">
        <v>0</v>
      </c>
    </row>
    <row r="474" spans="5:6" x14ac:dyDescent="0.3">
      <c r="E474" s="26">
        <v>45029</v>
      </c>
      <c r="F474" s="42">
        <v>0</v>
      </c>
    </row>
    <row r="475" spans="5:6" x14ac:dyDescent="0.3">
      <c r="E475" s="26">
        <v>45030</v>
      </c>
      <c r="F475" s="42">
        <v>0</v>
      </c>
    </row>
    <row r="476" spans="5:6" x14ac:dyDescent="0.3">
      <c r="E476" s="26">
        <v>45031</v>
      </c>
      <c r="F476" s="42">
        <v>0</v>
      </c>
    </row>
    <row r="477" spans="5:6" x14ac:dyDescent="0.3">
      <c r="E477" s="26">
        <v>45032</v>
      </c>
      <c r="F477" s="42">
        <v>0</v>
      </c>
    </row>
    <row r="478" spans="5:6" x14ac:dyDescent="0.3">
      <c r="E478" s="26">
        <v>45033</v>
      </c>
      <c r="F478" s="42">
        <v>0</v>
      </c>
    </row>
    <row r="479" spans="5:6" x14ac:dyDescent="0.3">
      <c r="E479" s="26">
        <v>45034</v>
      </c>
      <c r="F479" s="42">
        <v>0</v>
      </c>
    </row>
    <row r="480" spans="5:6" x14ac:dyDescent="0.3">
      <c r="E480" s="26">
        <v>45035</v>
      </c>
      <c r="F480" s="42">
        <v>0</v>
      </c>
    </row>
    <row r="481" spans="5:6" x14ac:dyDescent="0.3">
      <c r="E481" s="26">
        <v>45036</v>
      </c>
      <c r="F481" s="42">
        <v>0</v>
      </c>
    </row>
    <row r="482" spans="5:6" x14ac:dyDescent="0.3">
      <c r="E482" s="26">
        <v>45037</v>
      </c>
      <c r="F482" s="42">
        <v>0</v>
      </c>
    </row>
    <row r="483" spans="5:6" x14ac:dyDescent="0.3">
      <c r="E483" s="26">
        <v>45038</v>
      </c>
      <c r="F483" s="42">
        <v>2.8</v>
      </c>
    </row>
    <row r="484" spans="5:6" x14ac:dyDescent="0.3">
      <c r="E484" s="26">
        <v>45039</v>
      </c>
      <c r="F484" s="42">
        <v>0</v>
      </c>
    </row>
    <row r="485" spans="5:6" x14ac:dyDescent="0.3">
      <c r="E485" s="26">
        <v>45040</v>
      </c>
      <c r="F485" s="42">
        <v>11</v>
      </c>
    </row>
    <row r="486" spans="5:6" x14ac:dyDescent="0.3">
      <c r="E486" s="26">
        <v>45041</v>
      </c>
      <c r="F486" s="42">
        <v>2.5</v>
      </c>
    </row>
    <row r="487" spans="5:6" x14ac:dyDescent="0.3">
      <c r="E487" s="26">
        <v>45042</v>
      </c>
      <c r="F487" s="42">
        <v>0</v>
      </c>
    </row>
    <row r="488" spans="5:6" x14ac:dyDescent="0.3">
      <c r="E488" s="26">
        <v>45043</v>
      </c>
      <c r="F488" s="42">
        <v>1.3</v>
      </c>
    </row>
    <row r="489" spans="5:6" x14ac:dyDescent="0.3">
      <c r="E489" s="26">
        <v>45044</v>
      </c>
      <c r="F489" s="42">
        <v>0.4</v>
      </c>
    </row>
    <row r="490" spans="5:6" x14ac:dyDescent="0.3">
      <c r="E490" s="26">
        <v>45045</v>
      </c>
      <c r="F490" s="42">
        <v>0</v>
      </c>
    </row>
    <row r="491" spans="5:6" x14ac:dyDescent="0.3">
      <c r="E491" s="26">
        <v>45046</v>
      </c>
      <c r="F491" s="42">
        <v>0.1</v>
      </c>
    </row>
    <row r="492" spans="5:6" x14ac:dyDescent="0.3">
      <c r="E492" s="26">
        <v>45047</v>
      </c>
      <c r="F492" s="43">
        <v>9.5</v>
      </c>
    </row>
    <row r="493" spans="5:6" x14ac:dyDescent="0.3">
      <c r="E493" s="26">
        <v>45048</v>
      </c>
      <c r="F493" s="43">
        <v>0</v>
      </c>
    </row>
    <row r="494" spans="5:6" x14ac:dyDescent="0.3">
      <c r="E494" s="26">
        <v>45049</v>
      </c>
      <c r="F494" s="43">
        <v>37.799999999999997</v>
      </c>
    </row>
    <row r="495" spans="5:6" x14ac:dyDescent="0.3">
      <c r="E495" s="26">
        <v>45050</v>
      </c>
      <c r="F495" s="43">
        <v>13</v>
      </c>
    </row>
    <row r="496" spans="5:6" x14ac:dyDescent="0.3">
      <c r="E496" s="26">
        <v>45051</v>
      </c>
      <c r="F496" s="43">
        <v>0.8</v>
      </c>
    </row>
    <row r="497" spans="5:6" x14ac:dyDescent="0.3">
      <c r="E497" s="26">
        <v>45052</v>
      </c>
      <c r="F497" s="43">
        <v>6.2</v>
      </c>
    </row>
    <row r="498" spans="5:6" x14ac:dyDescent="0.3">
      <c r="E498" s="26">
        <v>45053</v>
      </c>
      <c r="F498" s="43">
        <v>8</v>
      </c>
    </row>
    <row r="499" spans="5:6" x14ac:dyDescent="0.3">
      <c r="E499" s="26">
        <v>45054</v>
      </c>
      <c r="F499" s="43">
        <v>3.1</v>
      </c>
    </row>
    <row r="500" spans="5:6" x14ac:dyDescent="0.3">
      <c r="E500" s="26">
        <v>45055</v>
      </c>
      <c r="F500" s="43">
        <v>0.2</v>
      </c>
    </row>
    <row r="501" spans="5:6" x14ac:dyDescent="0.3">
      <c r="E501" s="26">
        <v>45056</v>
      </c>
      <c r="F501" s="43">
        <v>1.1000000000000001</v>
      </c>
    </row>
    <row r="502" spans="5:6" x14ac:dyDescent="0.3">
      <c r="E502" s="26">
        <v>45057</v>
      </c>
      <c r="F502" s="43">
        <v>0.3</v>
      </c>
    </row>
    <row r="503" spans="5:6" x14ac:dyDescent="0.3">
      <c r="E503" s="26">
        <v>45058</v>
      </c>
      <c r="F503" s="43">
        <v>0</v>
      </c>
    </row>
    <row r="504" spans="5:6" x14ac:dyDescent="0.3">
      <c r="E504" s="26">
        <v>45059</v>
      </c>
      <c r="F504" s="43">
        <v>0</v>
      </c>
    </row>
    <row r="505" spans="5:6" x14ac:dyDescent="0.3">
      <c r="E505" s="26">
        <v>45060</v>
      </c>
      <c r="F505" s="43">
        <v>0</v>
      </c>
    </row>
    <row r="506" spans="5:6" x14ac:dyDescent="0.3">
      <c r="E506" s="26">
        <v>45061</v>
      </c>
      <c r="F506" s="43">
        <v>0</v>
      </c>
    </row>
    <row r="507" spans="5:6" x14ac:dyDescent="0.3">
      <c r="E507" s="26">
        <v>45062</v>
      </c>
      <c r="F507" s="43">
        <v>0</v>
      </c>
    </row>
    <row r="508" spans="5:6" x14ac:dyDescent="0.3">
      <c r="E508" s="26">
        <v>45063</v>
      </c>
      <c r="F508" s="43">
        <v>0</v>
      </c>
    </row>
    <row r="509" spans="5:6" x14ac:dyDescent="0.3">
      <c r="E509" s="26">
        <v>45064</v>
      </c>
      <c r="F509" s="43">
        <v>0</v>
      </c>
    </row>
    <row r="510" spans="5:6" x14ac:dyDescent="0.3">
      <c r="E510" s="26">
        <v>45065</v>
      </c>
      <c r="F510" s="43">
        <v>0</v>
      </c>
    </row>
    <row r="511" spans="5:6" x14ac:dyDescent="0.3">
      <c r="E511" s="26">
        <v>45066</v>
      </c>
      <c r="F511" s="43">
        <v>0</v>
      </c>
    </row>
    <row r="512" spans="5:6" x14ac:dyDescent="0.3">
      <c r="E512" s="26">
        <v>45067</v>
      </c>
      <c r="F512" s="43">
        <v>0.1</v>
      </c>
    </row>
    <row r="513" spans="5:6" x14ac:dyDescent="0.3">
      <c r="E513" s="26">
        <v>45068</v>
      </c>
      <c r="F513" s="43">
        <v>0</v>
      </c>
    </row>
    <row r="514" spans="5:6" x14ac:dyDescent="0.3">
      <c r="E514" s="26">
        <v>45069</v>
      </c>
      <c r="F514" s="43">
        <v>0.5</v>
      </c>
    </row>
    <row r="515" spans="5:6" x14ac:dyDescent="0.3">
      <c r="E515" s="26">
        <v>45070</v>
      </c>
      <c r="F515" s="43">
        <v>0.2</v>
      </c>
    </row>
    <row r="516" spans="5:6" x14ac:dyDescent="0.3">
      <c r="E516" s="26">
        <v>45071</v>
      </c>
      <c r="F516" s="43">
        <v>0</v>
      </c>
    </row>
    <row r="517" spans="5:6" x14ac:dyDescent="0.3">
      <c r="E517" s="26">
        <v>45072</v>
      </c>
      <c r="F517" s="43">
        <v>0.1</v>
      </c>
    </row>
    <row r="518" spans="5:6" x14ac:dyDescent="0.3">
      <c r="E518" s="26">
        <v>45073</v>
      </c>
      <c r="F518" s="43">
        <v>0</v>
      </c>
    </row>
    <row r="519" spans="5:6" x14ac:dyDescent="0.3">
      <c r="E519" s="26">
        <v>45074</v>
      </c>
      <c r="F519" s="43">
        <v>0</v>
      </c>
    </row>
    <row r="520" spans="5:6" x14ac:dyDescent="0.3">
      <c r="E520" s="26">
        <v>45075</v>
      </c>
      <c r="F520" s="43">
        <v>0</v>
      </c>
    </row>
    <row r="521" spans="5:6" x14ac:dyDescent="0.3">
      <c r="E521" s="26">
        <v>45076</v>
      </c>
      <c r="F521" s="43">
        <v>5.3</v>
      </c>
    </row>
    <row r="522" spans="5:6" x14ac:dyDescent="0.3">
      <c r="E522" s="26">
        <v>45077</v>
      </c>
      <c r="F522" s="43">
        <v>5.3</v>
      </c>
    </row>
    <row r="523" spans="5:6" x14ac:dyDescent="0.3">
      <c r="E523" s="26">
        <v>45078</v>
      </c>
      <c r="F523" s="44">
        <v>15.8</v>
      </c>
    </row>
    <row r="524" spans="5:6" x14ac:dyDescent="0.3">
      <c r="E524" s="26">
        <v>45079</v>
      </c>
      <c r="F524" s="44">
        <v>0</v>
      </c>
    </row>
    <row r="525" spans="5:6" x14ac:dyDescent="0.3">
      <c r="E525" s="26">
        <v>45080</v>
      </c>
      <c r="F525" s="44">
        <v>20</v>
      </c>
    </row>
    <row r="526" spans="5:6" x14ac:dyDescent="0.3">
      <c r="E526" s="26">
        <v>45081</v>
      </c>
      <c r="F526" s="44">
        <v>13</v>
      </c>
    </row>
    <row r="527" spans="5:6" x14ac:dyDescent="0.3">
      <c r="E527" s="26">
        <v>45082</v>
      </c>
      <c r="F527" s="44">
        <v>0</v>
      </c>
    </row>
    <row r="528" spans="5:6" x14ac:dyDescent="0.3">
      <c r="E528" s="26">
        <v>45083</v>
      </c>
      <c r="F528" s="44">
        <v>5</v>
      </c>
    </row>
    <row r="529" spans="5:6" x14ac:dyDescent="0.3">
      <c r="E529" s="26">
        <v>45084</v>
      </c>
      <c r="F529" s="44">
        <v>2</v>
      </c>
    </row>
    <row r="530" spans="5:6" x14ac:dyDescent="0.3">
      <c r="E530" s="26">
        <v>45085</v>
      </c>
      <c r="F530" s="44">
        <v>1.8</v>
      </c>
    </row>
    <row r="531" spans="5:6" x14ac:dyDescent="0.3">
      <c r="E531" s="26">
        <v>45086</v>
      </c>
      <c r="F531" s="44">
        <v>0</v>
      </c>
    </row>
    <row r="532" spans="5:6" x14ac:dyDescent="0.3">
      <c r="E532" s="26">
        <v>45087</v>
      </c>
      <c r="F532" s="44">
        <v>0</v>
      </c>
    </row>
    <row r="533" spans="5:6" x14ac:dyDescent="0.3">
      <c r="E533" s="26">
        <v>45088</v>
      </c>
      <c r="F533" s="44">
        <v>0</v>
      </c>
    </row>
    <row r="534" spans="5:6" x14ac:dyDescent="0.3">
      <c r="E534" s="26">
        <v>45089</v>
      </c>
      <c r="F534" s="44">
        <v>0</v>
      </c>
    </row>
    <row r="535" spans="5:6" x14ac:dyDescent="0.3">
      <c r="E535" s="26">
        <v>45090</v>
      </c>
      <c r="F535" s="44">
        <v>0</v>
      </c>
    </row>
    <row r="536" spans="5:6" x14ac:dyDescent="0.3">
      <c r="E536" s="26">
        <v>45091</v>
      </c>
      <c r="F536" s="44">
        <v>0</v>
      </c>
    </row>
    <row r="537" spans="5:6" x14ac:dyDescent="0.3">
      <c r="E537" s="26">
        <v>45092</v>
      </c>
      <c r="F537" s="44">
        <v>0</v>
      </c>
    </row>
    <row r="538" spans="5:6" x14ac:dyDescent="0.3">
      <c r="E538" s="26">
        <v>45093</v>
      </c>
      <c r="F538" s="44">
        <v>0</v>
      </c>
    </row>
    <row r="539" spans="5:6" x14ac:dyDescent="0.3">
      <c r="E539" s="26">
        <v>45094</v>
      </c>
      <c r="F539" s="44">
        <v>6.5</v>
      </c>
    </row>
    <row r="540" spans="5:6" x14ac:dyDescent="0.3">
      <c r="E540" s="26">
        <v>45095</v>
      </c>
      <c r="F540" s="44">
        <v>2.2000000000000002</v>
      </c>
    </row>
    <row r="541" spans="5:6" x14ac:dyDescent="0.3">
      <c r="E541" s="26">
        <v>45096</v>
      </c>
      <c r="F541" s="44">
        <v>2.2000000000000002</v>
      </c>
    </row>
    <row r="542" spans="5:6" x14ac:dyDescent="0.3">
      <c r="E542" s="26">
        <v>45097</v>
      </c>
      <c r="F542" s="44">
        <v>0</v>
      </c>
    </row>
    <row r="543" spans="5:6" x14ac:dyDescent="0.3">
      <c r="E543" s="26">
        <v>45098</v>
      </c>
      <c r="F543" s="44">
        <v>0</v>
      </c>
    </row>
    <row r="544" spans="5:6" x14ac:dyDescent="0.3">
      <c r="E544" s="26">
        <v>45099</v>
      </c>
      <c r="F544" s="44">
        <v>0</v>
      </c>
    </row>
    <row r="545" spans="5:6" x14ac:dyDescent="0.3">
      <c r="E545" s="26">
        <v>45100</v>
      </c>
      <c r="F545" s="44">
        <v>0</v>
      </c>
    </row>
    <row r="546" spans="5:6" x14ac:dyDescent="0.3">
      <c r="E546" s="26">
        <v>45101</v>
      </c>
      <c r="F546" s="44">
        <v>0</v>
      </c>
    </row>
    <row r="547" spans="5:6" x14ac:dyDescent="0.3">
      <c r="E547" s="26">
        <v>45102</v>
      </c>
      <c r="F547" s="44">
        <v>0</v>
      </c>
    </row>
    <row r="548" spans="5:6" x14ac:dyDescent="0.3">
      <c r="E548" s="26">
        <v>45103</v>
      </c>
      <c r="F548" s="44">
        <v>0</v>
      </c>
    </row>
    <row r="549" spans="5:6" x14ac:dyDescent="0.3">
      <c r="E549" s="26">
        <v>45104</v>
      </c>
      <c r="F549" s="44">
        <v>0</v>
      </c>
    </row>
    <row r="550" spans="5:6" x14ac:dyDescent="0.3">
      <c r="E550" s="26">
        <v>45105</v>
      </c>
      <c r="F550" s="44">
        <v>0</v>
      </c>
    </row>
    <row r="551" spans="5:6" x14ac:dyDescent="0.3">
      <c r="E551" s="26">
        <v>45106</v>
      </c>
      <c r="F551" s="44">
        <v>0</v>
      </c>
    </row>
    <row r="552" spans="5:6" x14ac:dyDescent="0.3">
      <c r="E552" s="26">
        <v>45107</v>
      </c>
      <c r="F552" s="44">
        <v>10</v>
      </c>
    </row>
    <row r="553" spans="5:6" x14ac:dyDescent="0.3">
      <c r="E553" s="26">
        <v>45108</v>
      </c>
      <c r="F553" s="45">
        <v>66</v>
      </c>
    </row>
    <row r="554" spans="5:6" x14ac:dyDescent="0.3">
      <c r="E554" s="26">
        <v>45109</v>
      </c>
      <c r="F554" s="45">
        <v>18.3</v>
      </c>
    </row>
    <row r="555" spans="5:6" x14ac:dyDescent="0.3">
      <c r="E555" s="26">
        <v>45110</v>
      </c>
      <c r="F555" s="45">
        <v>0</v>
      </c>
    </row>
    <row r="556" spans="5:6" x14ac:dyDescent="0.3">
      <c r="E556" s="26">
        <v>45111</v>
      </c>
      <c r="F556" s="45">
        <v>0</v>
      </c>
    </row>
    <row r="557" spans="5:6" x14ac:dyDescent="0.3">
      <c r="E557" s="26">
        <v>45112</v>
      </c>
      <c r="F557" s="45">
        <v>0</v>
      </c>
    </row>
    <row r="558" spans="5:6" x14ac:dyDescent="0.3">
      <c r="E558" s="26">
        <v>45113</v>
      </c>
      <c r="F558" s="45">
        <v>0</v>
      </c>
    </row>
    <row r="559" spans="5:6" x14ac:dyDescent="0.3">
      <c r="E559" s="26">
        <v>45114</v>
      </c>
      <c r="F559" s="45">
        <v>0</v>
      </c>
    </row>
    <row r="560" spans="5:6" x14ac:dyDescent="0.3">
      <c r="E560" s="26">
        <v>45115</v>
      </c>
      <c r="F560" s="45">
        <v>0</v>
      </c>
    </row>
    <row r="561" spans="5:6" x14ac:dyDescent="0.3">
      <c r="E561" s="26">
        <v>45116</v>
      </c>
      <c r="F561" s="45">
        <v>0</v>
      </c>
    </row>
    <row r="562" spans="5:6" x14ac:dyDescent="0.3">
      <c r="E562" s="26">
        <v>45117</v>
      </c>
      <c r="F562" s="45">
        <v>0.2</v>
      </c>
    </row>
    <row r="563" spans="5:6" x14ac:dyDescent="0.3">
      <c r="E563" s="26">
        <v>45118</v>
      </c>
      <c r="F563" s="45">
        <v>8</v>
      </c>
    </row>
    <row r="564" spans="5:6" x14ac:dyDescent="0.3">
      <c r="E564" s="26">
        <v>45119</v>
      </c>
      <c r="F564" s="45">
        <v>0</v>
      </c>
    </row>
    <row r="565" spans="5:6" x14ac:dyDescent="0.3">
      <c r="E565" s="26">
        <v>45120</v>
      </c>
      <c r="F565" s="45">
        <v>0</v>
      </c>
    </row>
    <row r="566" spans="5:6" x14ac:dyDescent="0.3">
      <c r="E566" s="26">
        <v>45121</v>
      </c>
      <c r="F566" s="45">
        <v>0</v>
      </c>
    </row>
    <row r="567" spans="5:6" x14ac:dyDescent="0.3">
      <c r="E567" s="26">
        <v>45122</v>
      </c>
      <c r="F567" s="45">
        <v>0</v>
      </c>
    </row>
    <row r="568" spans="5:6" x14ac:dyDescent="0.3">
      <c r="E568" s="26">
        <v>45123</v>
      </c>
      <c r="F568" s="45">
        <v>0</v>
      </c>
    </row>
    <row r="569" spans="5:6" x14ac:dyDescent="0.3">
      <c r="E569" s="26">
        <v>45124</v>
      </c>
      <c r="F569" s="45">
        <v>0</v>
      </c>
    </row>
    <row r="570" spans="5:6" x14ac:dyDescent="0.3">
      <c r="E570" s="26">
        <v>45125</v>
      </c>
      <c r="F570" s="45">
        <v>0</v>
      </c>
    </row>
    <row r="571" spans="5:6" x14ac:dyDescent="0.3">
      <c r="E571" s="26">
        <v>45126</v>
      </c>
      <c r="F571" s="45">
        <v>1.2</v>
      </c>
    </row>
    <row r="572" spans="5:6" x14ac:dyDescent="0.3">
      <c r="E572" s="26">
        <v>45127</v>
      </c>
      <c r="F572" s="45">
        <v>6.2</v>
      </c>
    </row>
    <row r="573" spans="5:6" x14ac:dyDescent="0.3">
      <c r="E573" s="26">
        <v>45128</v>
      </c>
      <c r="F573" s="45">
        <v>0</v>
      </c>
    </row>
    <row r="574" spans="5:6" x14ac:dyDescent="0.3">
      <c r="E574" s="26">
        <v>45129</v>
      </c>
      <c r="F574" s="45">
        <v>0</v>
      </c>
    </row>
    <row r="575" spans="5:6" x14ac:dyDescent="0.3">
      <c r="E575" s="26">
        <v>45130</v>
      </c>
      <c r="F575" s="45">
        <v>0</v>
      </c>
    </row>
    <row r="576" spans="5:6" x14ac:dyDescent="0.3">
      <c r="E576" s="26">
        <v>45131</v>
      </c>
      <c r="F576" s="45">
        <v>0</v>
      </c>
    </row>
    <row r="577" spans="5:6" x14ac:dyDescent="0.3">
      <c r="E577" s="26">
        <v>45132</v>
      </c>
      <c r="F577" s="45">
        <v>0</v>
      </c>
    </row>
    <row r="578" spans="5:6" x14ac:dyDescent="0.3">
      <c r="E578" s="26">
        <v>45133</v>
      </c>
      <c r="F578" s="45">
        <v>0</v>
      </c>
    </row>
    <row r="579" spans="5:6" x14ac:dyDescent="0.3">
      <c r="E579" s="26">
        <v>45134</v>
      </c>
      <c r="F579" s="45">
        <v>0</v>
      </c>
    </row>
    <row r="580" spans="5:6" x14ac:dyDescent="0.3">
      <c r="E580" s="26">
        <v>45135</v>
      </c>
      <c r="F580" s="45">
        <v>0</v>
      </c>
    </row>
    <row r="581" spans="5:6" x14ac:dyDescent="0.3">
      <c r="E581" s="26">
        <v>45136</v>
      </c>
      <c r="F581" s="45">
        <v>0</v>
      </c>
    </row>
    <row r="582" spans="5:6" x14ac:dyDescent="0.3">
      <c r="E582" s="26">
        <v>45137</v>
      </c>
      <c r="F582" s="45">
        <v>2.5</v>
      </c>
    </row>
    <row r="583" spans="5:6" x14ac:dyDescent="0.3">
      <c r="E583" s="26">
        <v>45138</v>
      </c>
      <c r="F583" s="45">
        <v>9.1999999999999993</v>
      </c>
    </row>
    <row r="584" spans="5:6" x14ac:dyDescent="0.3">
      <c r="E584" s="26">
        <v>45139</v>
      </c>
      <c r="F584" s="46">
        <v>2.7</v>
      </c>
    </row>
    <row r="585" spans="5:6" x14ac:dyDescent="0.3">
      <c r="E585" s="26">
        <v>45140</v>
      </c>
      <c r="F585" s="46">
        <v>9</v>
      </c>
    </row>
    <row r="586" spans="5:6" x14ac:dyDescent="0.3">
      <c r="E586" s="26">
        <v>45141</v>
      </c>
      <c r="F586" s="46">
        <v>0</v>
      </c>
    </row>
    <row r="587" spans="5:6" x14ac:dyDescent="0.3">
      <c r="E587" s="26">
        <v>45142</v>
      </c>
      <c r="F587" s="46">
        <v>0</v>
      </c>
    </row>
    <row r="588" spans="5:6" x14ac:dyDescent="0.3">
      <c r="E588" s="26">
        <v>45143</v>
      </c>
      <c r="F588" s="46">
        <v>0</v>
      </c>
    </row>
    <row r="589" spans="5:6" x14ac:dyDescent="0.3">
      <c r="E589" s="26">
        <v>45144</v>
      </c>
      <c r="F589" s="46">
        <v>0</v>
      </c>
    </row>
    <row r="590" spans="5:6" x14ac:dyDescent="0.3">
      <c r="E590" s="26">
        <v>45145</v>
      </c>
      <c r="F590" s="46">
        <v>0</v>
      </c>
    </row>
    <row r="591" spans="5:6" x14ac:dyDescent="0.3">
      <c r="E591" s="26">
        <v>45146</v>
      </c>
      <c r="F591" s="46">
        <v>26</v>
      </c>
    </row>
    <row r="592" spans="5:6" x14ac:dyDescent="0.3">
      <c r="E592" s="26">
        <v>45147</v>
      </c>
      <c r="F592" s="46">
        <v>0</v>
      </c>
    </row>
    <row r="593" spans="5:6" x14ac:dyDescent="0.3">
      <c r="E593" s="26">
        <v>45148</v>
      </c>
      <c r="F593" s="46">
        <v>0.3</v>
      </c>
    </row>
    <row r="594" spans="5:6" x14ac:dyDescent="0.3">
      <c r="E594" s="26">
        <v>45149</v>
      </c>
      <c r="F594" s="46">
        <v>0.1</v>
      </c>
    </row>
    <row r="595" spans="5:6" x14ac:dyDescent="0.3">
      <c r="E595" s="26">
        <v>45150</v>
      </c>
      <c r="F595" s="46">
        <v>3.3</v>
      </c>
    </row>
    <row r="596" spans="5:6" x14ac:dyDescent="0.3">
      <c r="E596" s="26">
        <v>45151</v>
      </c>
      <c r="F596" s="46">
        <v>0</v>
      </c>
    </row>
    <row r="597" spans="5:6" x14ac:dyDescent="0.3">
      <c r="E597" s="26">
        <v>45152</v>
      </c>
      <c r="F597" s="46">
        <v>12.7</v>
      </c>
    </row>
    <row r="598" spans="5:6" x14ac:dyDescent="0.3">
      <c r="E598" s="26">
        <v>45153</v>
      </c>
      <c r="F598" s="46">
        <v>6.4</v>
      </c>
    </row>
    <row r="599" spans="5:6" x14ac:dyDescent="0.3">
      <c r="E599" s="26">
        <v>45154</v>
      </c>
      <c r="F599" s="46">
        <v>6.3</v>
      </c>
    </row>
    <row r="600" spans="5:6" x14ac:dyDescent="0.3">
      <c r="E600" s="26">
        <v>45155</v>
      </c>
      <c r="F600" s="46">
        <v>4.2</v>
      </c>
    </row>
    <row r="601" spans="5:6" x14ac:dyDescent="0.3">
      <c r="E601" s="26">
        <v>45156</v>
      </c>
      <c r="F601" s="46">
        <v>0</v>
      </c>
    </row>
    <row r="602" spans="5:6" x14ac:dyDescent="0.3">
      <c r="E602" s="26">
        <v>45157</v>
      </c>
      <c r="F602" s="46">
        <v>1.1000000000000001</v>
      </c>
    </row>
    <row r="603" spans="5:6" x14ac:dyDescent="0.3">
      <c r="E603" s="26">
        <v>45158</v>
      </c>
      <c r="F603" s="46">
        <v>0</v>
      </c>
    </row>
    <row r="604" spans="5:6" x14ac:dyDescent="0.3">
      <c r="E604" s="26">
        <v>45159</v>
      </c>
      <c r="F604" s="46">
        <v>0</v>
      </c>
    </row>
    <row r="605" spans="5:6" x14ac:dyDescent="0.3">
      <c r="E605" s="26">
        <v>45160</v>
      </c>
      <c r="F605" s="46">
        <v>0</v>
      </c>
    </row>
    <row r="606" spans="5:6" x14ac:dyDescent="0.3">
      <c r="E606" s="26">
        <v>45161</v>
      </c>
      <c r="F606" s="46">
        <v>0</v>
      </c>
    </row>
    <row r="607" spans="5:6" x14ac:dyDescent="0.3">
      <c r="E607" s="26">
        <v>45162</v>
      </c>
      <c r="F607" s="46">
        <v>0.8</v>
      </c>
    </row>
    <row r="608" spans="5:6" x14ac:dyDescent="0.3">
      <c r="E608" s="26">
        <v>45163</v>
      </c>
      <c r="F608" s="46">
        <v>3</v>
      </c>
    </row>
    <row r="609" spans="5:6" x14ac:dyDescent="0.3">
      <c r="E609" s="26">
        <v>45164</v>
      </c>
      <c r="F609" s="46">
        <v>0</v>
      </c>
    </row>
    <row r="610" spans="5:6" x14ac:dyDescent="0.3">
      <c r="E610" s="26">
        <v>45165</v>
      </c>
      <c r="F610" s="46">
        <v>0.8</v>
      </c>
    </row>
    <row r="611" spans="5:6" x14ac:dyDescent="0.3">
      <c r="E611" s="26">
        <v>45166</v>
      </c>
      <c r="F611" s="46">
        <v>0</v>
      </c>
    </row>
    <row r="612" spans="5:6" x14ac:dyDescent="0.3">
      <c r="E612" s="26">
        <v>45167</v>
      </c>
      <c r="F612" s="46">
        <v>0</v>
      </c>
    </row>
    <row r="613" spans="5:6" x14ac:dyDescent="0.3">
      <c r="E613" s="26">
        <v>45168</v>
      </c>
      <c r="F613" s="46">
        <v>0.1</v>
      </c>
    </row>
    <row r="614" spans="5:6" x14ac:dyDescent="0.3">
      <c r="E614" s="26">
        <v>45169</v>
      </c>
      <c r="F614" s="46">
        <v>0</v>
      </c>
    </row>
    <row r="615" spans="5:6" x14ac:dyDescent="0.3">
      <c r="E615" s="26">
        <v>45170</v>
      </c>
      <c r="F615" s="47">
        <v>0.5</v>
      </c>
    </row>
    <row r="616" spans="5:6" x14ac:dyDescent="0.3">
      <c r="E616" s="26">
        <v>45171</v>
      </c>
      <c r="F616" s="47">
        <v>1.5</v>
      </c>
    </row>
    <row r="617" spans="5:6" x14ac:dyDescent="0.3">
      <c r="E617" s="26">
        <v>45172</v>
      </c>
      <c r="F617" s="47">
        <v>10.4</v>
      </c>
    </row>
    <row r="618" spans="5:6" x14ac:dyDescent="0.3">
      <c r="E618" s="26">
        <v>45173</v>
      </c>
      <c r="F618" s="47">
        <v>25.5</v>
      </c>
    </row>
    <row r="619" spans="5:6" x14ac:dyDescent="0.3">
      <c r="E619" s="26">
        <v>45174</v>
      </c>
      <c r="F619" s="47">
        <v>14.2</v>
      </c>
    </row>
    <row r="620" spans="5:6" x14ac:dyDescent="0.3">
      <c r="E620" s="26">
        <v>45175</v>
      </c>
      <c r="F620" s="47">
        <v>4.8</v>
      </c>
    </row>
    <row r="621" spans="5:6" x14ac:dyDescent="0.3">
      <c r="E621" s="26">
        <v>45176</v>
      </c>
      <c r="F621" s="47">
        <v>0</v>
      </c>
    </row>
    <row r="622" spans="5:6" x14ac:dyDescent="0.3">
      <c r="E622" s="26">
        <v>45177</v>
      </c>
      <c r="F622" s="47">
        <v>0</v>
      </c>
    </row>
    <row r="623" spans="5:6" x14ac:dyDescent="0.3">
      <c r="E623" s="26">
        <v>45178</v>
      </c>
      <c r="F623" s="47">
        <v>0</v>
      </c>
    </row>
    <row r="624" spans="5:6" x14ac:dyDescent="0.3">
      <c r="E624" s="26">
        <v>45179</v>
      </c>
      <c r="F624" s="47">
        <v>0.1</v>
      </c>
    </row>
    <row r="625" spans="5:6" x14ac:dyDescent="0.3">
      <c r="E625" s="26">
        <v>45180</v>
      </c>
      <c r="F625" s="47">
        <v>0.1</v>
      </c>
    </row>
    <row r="626" spans="5:6" x14ac:dyDescent="0.3">
      <c r="E626" s="26">
        <v>45181</v>
      </c>
      <c r="F626" s="47">
        <v>0.3</v>
      </c>
    </row>
    <row r="627" spans="5:6" x14ac:dyDescent="0.3">
      <c r="E627" s="26">
        <v>45182</v>
      </c>
      <c r="F627" s="47">
        <v>0</v>
      </c>
    </row>
    <row r="628" spans="5:6" x14ac:dyDescent="0.3">
      <c r="E628" s="26">
        <v>45183</v>
      </c>
      <c r="F628" s="47">
        <v>0</v>
      </c>
    </row>
    <row r="629" spans="5:6" x14ac:dyDescent="0.3">
      <c r="E629" s="26">
        <v>45184</v>
      </c>
      <c r="F629" s="47">
        <v>0.5</v>
      </c>
    </row>
    <row r="630" spans="5:6" x14ac:dyDescent="0.3">
      <c r="E630" s="26">
        <v>45185</v>
      </c>
      <c r="F630" s="47">
        <v>5.5</v>
      </c>
    </row>
    <row r="631" spans="5:6" x14ac:dyDescent="0.3">
      <c r="E631" s="26">
        <v>45186</v>
      </c>
      <c r="F631" s="47">
        <v>1</v>
      </c>
    </row>
    <row r="632" spans="5:6" x14ac:dyDescent="0.3">
      <c r="E632" s="26">
        <v>45187</v>
      </c>
      <c r="F632" s="47">
        <v>0</v>
      </c>
    </row>
    <row r="633" spans="5:6" x14ac:dyDescent="0.3">
      <c r="E633" s="26">
        <v>45188</v>
      </c>
      <c r="F633" s="47">
        <v>2.9</v>
      </c>
    </row>
    <row r="634" spans="5:6" x14ac:dyDescent="0.3">
      <c r="E634" s="26">
        <v>45189</v>
      </c>
      <c r="F634" s="47">
        <v>20.2</v>
      </c>
    </row>
    <row r="635" spans="5:6" x14ac:dyDescent="0.3">
      <c r="E635" s="26">
        <v>45190</v>
      </c>
      <c r="F635" s="47">
        <v>7.3</v>
      </c>
    </row>
    <row r="636" spans="5:6" x14ac:dyDescent="0.3">
      <c r="E636" s="26">
        <v>45191</v>
      </c>
      <c r="F636" s="47">
        <v>6</v>
      </c>
    </row>
    <row r="637" spans="5:6" x14ac:dyDescent="0.3">
      <c r="E637" s="26">
        <v>45192</v>
      </c>
      <c r="F637" s="47">
        <v>0</v>
      </c>
    </row>
    <row r="638" spans="5:6" x14ac:dyDescent="0.3">
      <c r="E638" s="26">
        <v>45193</v>
      </c>
      <c r="F638" s="47">
        <v>23</v>
      </c>
    </row>
    <row r="639" spans="5:6" x14ac:dyDescent="0.3">
      <c r="E639" s="26">
        <v>45194</v>
      </c>
      <c r="F639" s="47">
        <v>6.5</v>
      </c>
    </row>
    <row r="640" spans="5:6" x14ac:dyDescent="0.3">
      <c r="E640" s="26">
        <v>45195</v>
      </c>
      <c r="F640" s="47">
        <v>1.2</v>
      </c>
    </row>
    <row r="641" spans="5:6" x14ac:dyDescent="0.3">
      <c r="E641" s="26">
        <v>45196</v>
      </c>
      <c r="F641" s="47">
        <v>7.5</v>
      </c>
    </row>
    <row r="642" spans="5:6" x14ac:dyDescent="0.3">
      <c r="E642" s="26">
        <v>45197</v>
      </c>
      <c r="F642" s="47">
        <v>10.5</v>
      </c>
    </row>
    <row r="643" spans="5:6" x14ac:dyDescent="0.3">
      <c r="E643" s="26">
        <v>45198</v>
      </c>
      <c r="F643" s="47">
        <v>0</v>
      </c>
    </row>
    <row r="644" spans="5:6" x14ac:dyDescent="0.3">
      <c r="E644" s="26">
        <v>45199</v>
      </c>
      <c r="F644" s="47">
        <v>0</v>
      </c>
    </row>
    <row r="645" spans="5:6" x14ac:dyDescent="0.3">
      <c r="E645" s="26">
        <v>45200</v>
      </c>
      <c r="F645" s="48">
        <v>0</v>
      </c>
    </row>
    <row r="646" spans="5:6" x14ac:dyDescent="0.3">
      <c r="E646" s="26">
        <v>45201</v>
      </c>
      <c r="F646" s="48">
        <v>0</v>
      </c>
    </row>
    <row r="647" spans="5:6" x14ac:dyDescent="0.3">
      <c r="E647" s="26">
        <v>45202</v>
      </c>
      <c r="F647" s="48">
        <v>5.4</v>
      </c>
    </row>
    <row r="648" spans="5:6" x14ac:dyDescent="0.3">
      <c r="E648" s="26">
        <v>45203</v>
      </c>
      <c r="F648" s="48">
        <v>0</v>
      </c>
    </row>
    <row r="649" spans="5:6" x14ac:dyDescent="0.3">
      <c r="E649" s="26">
        <v>45204</v>
      </c>
      <c r="F649" s="48">
        <v>21.8</v>
      </c>
    </row>
    <row r="650" spans="5:6" x14ac:dyDescent="0.3">
      <c r="E650" s="26">
        <v>45205</v>
      </c>
      <c r="F650" s="48">
        <v>14.7</v>
      </c>
    </row>
    <row r="651" spans="5:6" x14ac:dyDescent="0.3">
      <c r="E651" s="26">
        <v>45206</v>
      </c>
      <c r="F651" s="48">
        <v>0.5</v>
      </c>
    </row>
    <row r="652" spans="5:6" x14ac:dyDescent="0.3">
      <c r="E652" s="26">
        <v>45207</v>
      </c>
      <c r="F652" s="48">
        <v>36.4</v>
      </c>
    </row>
    <row r="653" spans="5:6" x14ac:dyDescent="0.3">
      <c r="E653" s="26">
        <v>45208</v>
      </c>
      <c r="F653" s="48">
        <v>1</v>
      </c>
    </row>
    <row r="654" spans="5:6" x14ac:dyDescent="0.3">
      <c r="E654" s="26">
        <v>45209</v>
      </c>
      <c r="F654" s="48">
        <v>3.1</v>
      </c>
    </row>
    <row r="655" spans="5:6" x14ac:dyDescent="0.3">
      <c r="E655" s="26">
        <v>45210</v>
      </c>
      <c r="F655" s="48">
        <v>10.4</v>
      </c>
    </row>
    <row r="656" spans="5:6" x14ac:dyDescent="0.3">
      <c r="E656" s="26">
        <v>45211</v>
      </c>
      <c r="F656" s="48">
        <v>7</v>
      </c>
    </row>
    <row r="657" spans="5:6" x14ac:dyDescent="0.3">
      <c r="E657" s="26">
        <v>45212</v>
      </c>
      <c r="F657" s="48">
        <v>30.5</v>
      </c>
    </row>
    <row r="658" spans="5:6" x14ac:dyDescent="0.3">
      <c r="E658" s="26">
        <v>45213</v>
      </c>
      <c r="F658" s="48">
        <v>16.600000000000001</v>
      </c>
    </row>
    <row r="659" spans="5:6" x14ac:dyDescent="0.3">
      <c r="E659" s="26">
        <v>45214</v>
      </c>
      <c r="F659" s="48">
        <v>29</v>
      </c>
    </row>
    <row r="660" spans="5:6" x14ac:dyDescent="0.3">
      <c r="E660" s="26">
        <v>45215</v>
      </c>
      <c r="F660" s="48">
        <v>0</v>
      </c>
    </row>
    <row r="661" spans="5:6" x14ac:dyDescent="0.3">
      <c r="E661" s="26">
        <v>45216</v>
      </c>
      <c r="F661" s="48">
        <v>9.9</v>
      </c>
    </row>
    <row r="662" spans="5:6" x14ac:dyDescent="0.3">
      <c r="E662" s="26">
        <v>45217</v>
      </c>
      <c r="F662" s="48">
        <v>3.6</v>
      </c>
    </row>
    <row r="663" spans="5:6" x14ac:dyDescent="0.3">
      <c r="E663" s="26">
        <v>45218</v>
      </c>
      <c r="F663" s="48">
        <v>0.8</v>
      </c>
    </row>
    <row r="664" spans="5:6" x14ac:dyDescent="0.3">
      <c r="E664" s="26">
        <v>45219</v>
      </c>
      <c r="F664" s="48">
        <v>4.8</v>
      </c>
    </row>
    <row r="665" spans="5:6" x14ac:dyDescent="0.3">
      <c r="E665" s="26">
        <v>45220</v>
      </c>
      <c r="F665" s="48">
        <v>4</v>
      </c>
    </row>
    <row r="666" spans="5:6" x14ac:dyDescent="0.3">
      <c r="E666" s="26">
        <v>45221</v>
      </c>
      <c r="F666" s="48">
        <v>11</v>
      </c>
    </row>
    <row r="667" spans="5:6" x14ac:dyDescent="0.3">
      <c r="E667" s="26">
        <v>45222</v>
      </c>
      <c r="F667" s="48">
        <v>3</v>
      </c>
    </row>
    <row r="668" spans="5:6" x14ac:dyDescent="0.3">
      <c r="E668" s="26">
        <v>45223</v>
      </c>
      <c r="F668" s="48">
        <v>4.7</v>
      </c>
    </row>
    <row r="669" spans="5:6" x14ac:dyDescent="0.3">
      <c r="E669" s="26">
        <v>45224</v>
      </c>
      <c r="F669" s="48">
        <v>1.9</v>
      </c>
    </row>
    <row r="670" spans="5:6" x14ac:dyDescent="0.3">
      <c r="E670" s="26">
        <v>45225</v>
      </c>
      <c r="F670" s="48">
        <v>0</v>
      </c>
    </row>
    <row r="671" spans="5:6" x14ac:dyDescent="0.3">
      <c r="E671" s="26">
        <v>45226</v>
      </c>
      <c r="F671" s="48">
        <v>0</v>
      </c>
    </row>
    <row r="672" spans="5:6" x14ac:dyDescent="0.3">
      <c r="E672" s="26">
        <v>45227</v>
      </c>
      <c r="F672" s="48">
        <v>39</v>
      </c>
    </row>
    <row r="673" spans="5:6" x14ac:dyDescent="0.3">
      <c r="E673" s="26">
        <v>45228</v>
      </c>
      <c r="F673" s="48">
        <v>12.9</v>
      </c>
    </row>
    <row r="674" spans="5:6" x14ac:dyDescent="0.3">
      <c r="E674" s="26">
        <v>45229</v>
      </c>
      <c r="F674" s="48">
        <v>8.4</v>
      </c>
    </row>
    <row r="675" spans="5:6" x14ac:dyDescent="0.3">
      <c r="E675" s="26">
        <v>45230</v>
      </c>
      <c r="F675" s="48">
        <v>4.0999999999999996</v>
      </c>
    </row>
    <row r="676" spans="5:6" x14ac:dyDescent="0.3">
      <c r="E676" s="26">
        <v>45231</v>
      </c>
      <c r="F676" s="49">
        <v>18.100000000000001</v>
      </c>
    </row>
    <row r="677" spans="5:6" x14ac:dyDescent="0.3">
      <c r="E677" s="26">
        <v>45232</v>
      </c>
      <c r="F677" s="49">
        <v>6.3</v>
      </c>
    </row>
    <row r="678" spans="5:6" x14ac:dyDescent="0.3">
      <c r="E678" s="26">
        <v>45233</v>
      </c>
      <c r="F678" s="49">
        <v>53.7</v>
      </c>
    </row>
    <row r="679" spans="5:6" x14ac:dyDescent="0.3">
      <c r="E679" s="26">
        <v>45234</v>
      </c>
      <c r="F679" s="49">
        <v>30</v>
      </c>
    </row>
    <row r="680" spans="5:6" x14ac:dyDescent="0.3">
      <c r="E680" s="26">
        <v>45235</v>
      </c>
      <c r="F680" s="49">
        <v>34.799999999999997</v>
      </c>
    </row>
    <row r="681" spans="5:6" x14ac:dyDescent="0.3">
      <c r="E681" s="26">
        <v>45236</v>
      </c>
      <c r="F681" s="49">
        <v>21.4</v>
      </c>
    </row>
    <row r="682" spans="5:6" x14ac:dyDescent="0.3">
      <c r="E682" s="26">
        <v>45237</v>
      </c>
      <c r="F682" s="49">
        <v>20.8</v>
      </c>
    </row>
    <row r="683" spans="5:6" x14ac:dyDescent="0.3">
      <c r="E683" s="26">
        <v>45238</v>
      </c>
      <c r="F683" s="49">
        <v>0</v>
      </c>
    </row>
    <row r="684" spans="5:6" x14ac:dyDescent="0.3">
      <c r="E684" s="26">
        <v>45239</v>
      </c>
      <c r="F684" s="49">
        <v>6.9</v>
      </c>
    </row>
    <row r="685" spans="5:6" x14ac:dyDescent="0.3">
      <c r="E685" s="26">
        <v>45240</v>
      </c>
      <c r="F685" s="49">
        <v>2.2999999999999998</v>
      </c>
    </row>
    <row r="686" spans="5:6" x14ac:dyDescent="0.3">
      <c r="E686" s="26">
        <v>45241</v>
      </c>
      <c r="F686" s="49">
        <v>0</v>
      </c>
    </row>
    <row r="687" spans="5:6" x14ac:dyDescent="0.3">
      <c r="E687" s="26">
        <v>45242</v>
      </c>
      <c r="F687" s="49">
        <v>3.4</v>
      </c>
    </row>
    <row r="688" spans="5:6" x14ac:dyDescent="0.3">
      <c r="E688" s="26">
        <v>45243</v>
      </c>
      <c r="F688" s="49">
        <v>0</v>
      </c>
    </row>
    <row r="689" spans="5:6" x14ac:dyDescent="0.3">
      <c r="E689" s="26">
        <v>45244</v>
      </c>
      <c r="F689" s="49">
        <v>11.4</v>
      </c>
    </row>
    <row r="690" spans="5:6" x14ac:dyDescent="0.3">
      <c r="E690" s="26">
        <v>45245</v>
      </c>
      <c r="F690" s="49">
        <v>13.6</v>
      </c>
    </row>
    <row r="691" spans="5:6" x14ac:dyDescent="0.3">
      <c r="E691" s="26">
        <v>45246</v>
      </c>
      <c r="F691" s="49">
        <v>14.8</v>
      </c>
    </row>
    <row r="692" spans="5:6" x14ac:dyDescent="0.3">
      <c r="E692" s="26">
        <v>45247</v>
      </c>
      <c r="F692" s="49">
        <v>29.5</v>
      </c>
    </row>
    <row r="693" spans="5:6" x14ac:dyDescent="0.3">
      <c r="E693" s="26">
        <v>45248</v>
      </c>
      <c r="F693" s="49">
        <v>4.5</v>
      </c>
    </row>
    <row r="694" spans="5:6" x14ac:dyDescent="0.3">
      <c r="E694" s="26">
        <v>45249</v>
      </c>
      <c r="F694" s="49">
        <v>6.5</v>
      </c>
    </row>
    <row r="695" spans="5:6" x14ac:dyDescent="0.3">
      <c r="E695" s="26">
        <v>45250</v>
      </c>
      <c r="F695" s="49">
        <v>2.5</v>
      </c>
    </row>
    <row r="696" spans="5:6" x14ac:dyDescent="0.3">
      <c r="E696" s="26">
        <v>45251</v>
      </c>
      <c r="F696" s="49">
        <v>2.6</v>
      </c>
    </row>
    <row r="697" spans="5:6" x14ac:dyDescent="0.3">
      <c r="E697" s="26">
        <v>45252</v>
      </c>
      <c r="F697" s="49">
        <v>1.5</v>
      </c>
    </row>
    <row r="698" spans="5:6" x14ac:dyDescent="0.3">
      <c r="E698" s="26">
        <v>45253</v>
      </c>
      <c r="F698" s="49">
        <v>0</v>
      </c>
    </row>
    <row r="699" spans="5:6" x14ac:dyDescent="0.3">
      <c r="E699" s="26">
        <v>45254</v>
      </c>
      <c r="F699" s="49">
        <v>10.4</v>
      </c>
    </row>
    <row r="700" spans="5:6" x14ac:dyDescent="0.3">
      <c r="E700" s="26">
        <v>45255</v>
      </c>
      <c r="F700" s="49">
        <v>0.5</v>
      </c>
    </row>
    <row r="701" spans="5:6" x14ac:dyDescent="0.3">
      <c r="E701" s="26">
        <v>45256</v>
      </c>
      <c r="F701" s="49">
        <v>126</v>
      </c>
    </row>
    <row r="702" spans="5:6" x14ac:dyDescent="0.3">
      <c r="E702" s="26">
        <v>45257</v>
      </c>
      <c r="F702" s="49">
        <v>8.6999999999999993</v>
      </c>
    </row>
    <row r="703" spans="5:6" x14ac:dyDescent="0.3">
      <c r="E703" s="26">
        <v>45258</v>
      </c>
      <c r="F703" s="49">
        <v>38</v>
      </c>
    </row>
    <row r="704" spans="5:6" x14ac:dyDescent="0.3">
      <c r="E704" s="26">
        <v>45259</v>
      </c>
      <c r="F704" s="49">
        <v>82.8</v>
      </c>
    </row>
    <row r="705" spans="5:6" x14ac:dyDescent="0.3">
      <c r="E705" s="26">
        <v>45260</v>
      </c>
      <c r="F705" s="49">
        <v>8.8000000000000007</v>
      </c>
    </row>
    <row r="706" spans="5:6" x14ac:dyDescent="0.3">
      <c r="E706" s="26">
        <v>45261</v>
      </c>
      <c r="F706" s="50">
        <v>8.1999999999999993</v>
      </c>
    </row>
    <row r="707" spans="5:6" x14ac:dyDescent="0.3">
      <c r="E707" s="26">
        <v>45262</v>
      </c>
      <c r="F707" s="50">
        <v>6</v>
      </c>
    </row>
    <row r="708" spans="5:6" x14ac:dyDescent="0.3">
      <c r="E708" s="26">
        <v>45263</v>
      </c>
      <c r="F708" s="50">
        <v>2</v>
      </c>
    </row>
    <row r="709" spans="5:6" x14ac:dyDescent="0.3">
      <c r="E709" s="26">
        <v>45264</v>
      </c>
      <c r="F709" s="50">
        <v>1</v>
      </c>
    </row>
    <row r="710" spans="5:6" x14ac:dyDescent="0.3">
      <c r="E710" s="26">
        <v>45265</v>
      </c>
      <c r="F710" s="50">
        <v>9.4</v>
      </c>
    </row>
    <row r="711" spans="5:6" x14ac:dyDescent="0.3">
      <c r="E711" s="26">
        <v>45266</v>
      </c>
      <c r="F711" s="50">
        <v>0</v>
      </c>
    </row>
    <row r="712" spans="5:6" x14ac:dyDescent="0.3">
      <c r="E712" s="26">
        <v>45267</v>
      </c>
      <c r="F712" s="50">
        <v>24.7</v>
      </c>
    </row>
    <row r="713" spans="5:6" x14ac:dyDescent="0.3">
      <c r="E713" s="26">
        <v>45268</v>
      </c>
      <c r="F713" s="50">
        <v>7.7</v>
      </c>
    </row>
    <row r="714" spans="5:6" x14ac:dyDescent="0.3">
      <c r="E714" s="26">
        <v>45269</v>
      </c>
      <c r="F714" s="50">
        <v>0</v>
      </c>
    </row>
    <row r="715" spans="5:6" x14ac:dyDescent="0.3">
      <c r="E715" s="26">
        <v>45270</v>
      </c>
      <c r="F715" s="50">
        <v>6</v>
      </c>
    </row>
    <row r="716" spans="5:6" x14ac:dyDescent="0.3">
      <c r="E716" s="26">
        <v>45271</v>
      </c>
      <c r="F716" s="50">
        <v>8.9</v>
      </c>
    </row>
    <row r="717" spans="5:6" x14ac:dyDescent="0.3">
      <c r="E717" s="26">
        <v>45272</v>
      </c>
      <c r="F717" s="50">
        <v>29.5</v>
      </c>
    </row>
    <row r="718" spans="5:6" x14ac:dyDescent="0.3">
      <c r="E718" s="26">
        <v>45273</v>
      </c>
      <c r="F718" s="50">
        <v>0</v>
      </c>
    </row>
    <row r="719" spans="5:6" x14ac:dyDescent="0.3">
      <c r="E719" s="26">
        <v>45274</v>
      </c>
      <c r="F719" s="50">
        <v>15.5</v>
      </c>
    </row>
    <row r="720" spans="5:6" x14ac:dyDescent="0.3">
      <c r="E720" s="26">
        <v>45275</v>
      </c>
      <c r="F720" s="50">
        <v>12.4</v>
      </c>
    </row>
    <row r="721" spans="5:6" x14ac:dyDescent="0.3">
      <c r="E721" s="26">
        <v>45276</v>
      </c>
      <c r="F721" s="50">
        <v>5.5</v>
      </c>
    </row>
    <row r="722" spans="5:6" x14ac:dyDescent="0.3">
      <c r="E722" s="26">
        <v>45277</v>
      </c>
      <c r="F722" s="50">
        <v>28.5</v>
      </c>
    </row>
    <row r="723" spans="5:6" x14ac:dyDescent="0.3">
      <c r="E723" s="26">
        <v>45278</v>
      </c>
      <c r="F723" s="50">
        <v>0</v>
      </c>
    </row>
    <row r="724" spans="5:6" x14ac:dyDescent="0.3">
      <c r="E724" s="26">
        <v>45279</v>
      </c>
      <c r="F724" s="50">
        <v>2.5</v>
      </c>
    </row>
    <row r="725" spans="5:6" x14ac:dyDescent="0.3">
      <c r="E725" s="26">
        <v>45280</v>
      </c>
      <c r="F725" s="50">
        <v>0</v>
      </c>
    </row>
    <row r="726" spans="5:6" x14ac:dyDescent="0.3">
      <c r="E726" s="26">
        <v>45281</v>
      </c>
      <c r="F726" s="50">
        <v>11.5</v>
      </c>
    </row>
    <row r="727" spans="5:6" x14ac:dyDescent="0.3">
      <c r="E727" s="26">
        <v>45282</v>
      </c>
      <c r="F727" s="50">
        <v>0</v>
      </c>
    </row>
    <row r="728" spans="5:6" x14ac:dyDescent="0.3">
      <c r="E728" s="26">
        <v>45283</v>
      </c>
      <c r="F728" s="50">
        <v>1</v>
      </c>
    </row>
    <row r="729" spans="5:6" x14ac:dyDescent="0.3">
      <c r="E729" s="26">
        <v>45284</v>
      </c>
      <c r="F729" s="50">
        <v>13</v>
      </c>
    </row>
    <row r="730" spans="5:6" x14ac:dyDescent="0.3">
      <c r="E730" s="26">
        <v>45285</v>
      </c>
      <c r="F730" s="50">
        <v>29.5</v>
      </c>
    </row>
    <row r="731" spans="5:6" x14ac:dyDescent="0.3">
      <c r="E731" s="26">
        <v>45286</v>
      </c>
      <c r="F731" s="50">
        <v>11.8</v>
      </c>
    </row>
    <row r="732" spans="5:6" x14ac:dyDescent="0.3">
      <c r="E732" s="26">
        <v>45287</v>
      </c>
      <c r="F732" s="50">
        <v>0</v>
      </c>
    </row>
    <row r="733" spans="5:6" x14ac:dyDescent="0.3">
      <c r="E733" s="26">
        <v>45288</v>
      </c>
      <c r="F733" s="50">
        <v>0</v>
      </c>
    </row>
    <row r="734" spans="5:6" x14ac:dyDescent="0.3">
      <c r="E734" s="26">
        <v>45289</v>
      </c>
      <c r="F734" s="50">
        <v>0</v>
      </c>
    </row>
    <row r="735" spans="5:6" x14ac:dyDescent="0.3">
      <c r="E735" s="26">
        <v>45290</v>
      </c>
      <c r="F735" s="50">
        <v>1.3</v>
      </c>
    </row>
    <row r="736" spans="5:6" x14ac:dyDescent="0.3">
      <c r="E736" s="26">
        <v>45291</v>
      </c>
      <c r="F736" s="50">
        <v>11</v>
      </c>
    </row>
    <row r="737" spans="5:6" x14ac:dyDescent="0.3">
      <c r="E737" s="26">
        <v>45292</v>
      </c>
      <c r="F737" s="31">
        <v>2.5</v>
      </c>
    </row>
    <row r="738" spans="5:6" x14ac:dyDescent="0.3">
      <c r="E738" s="26">
        <v>45293</v>
      </c>
      <c r="F738" s="31">
        <v>0</v>
      </c>
    </row>
    <row r="739" spans="5:6" x14ac:dyDescent="0.3">
      <c r="E739" s="26">
        <v>45294</v>
      </c>
      <c r="F739" s="31">
        <v>1</v>
      </c>
    </row>
    <row r="740" spans="5:6" x14ac:dyDescent="0.3">
      <c r="E740" s="26">
        <v>45295</v>
      </c>
      <c r="F740" s="31">
        <v>2</v>
      </c>
    </row>
    <row r="741" spans="5:6" x14ac:dyDescent="0.3">
      <c r="E741" s="26">
        <v>45296</v>
      </c>
      <c r="F741" s="31">
        <v>0.6</v>
      </c>
    </row>
    <row r="742" spans="5:6" x14ac:dyDescent="0.3">
      <c r="E742" s="26">
        <v>45297</v>
      </c>
      <c r="F742" s="31">
        <v>0.9</v>
      </c>
    </row>
    <row r="743" spans="5:6" x14ac:dyDescent="0.3">
      <c r="E743" s="26">
        <v>45298</v>
      </c>
      <c r="F743" s="31">
        <v>0.5</v>
      </c>
    </row>
    <row r="744" spans="5:6" x14ac:dyDescent="0.3">
      <c r="E744" s="26">
        <v>45299</v>
      </c>
      <c r="F744" s="31">
        <v>0</v>
      </c>
    </row>
    <row r="745" spans="5:6" x14ac:dyDescent="0.3">
      <c r="E745" s="26">
        <v>45300</v>
      </c>
      <c r="F745" s="31">
        <v>1.5</v>
      </c>
    </row>
    <row r="746" spans="5:6" x14ac:dyDescent="0.3">
      <c r="E746" s="26">
        <v>45301</v>
      </c>
      <c r="F746" s="31">
        <v>0.7</v>
      </c>
    </row>
    <row r="747" spans="5:6" x14ac:dyDescent="0.3">
      <c r="E747" s="26">
        <v>45302</v>
      </c>
      <c r="F747" s="31">
        <v>5</v>
      </c>
    </row>
    <row r="748" spans="5:6" x14ac:dyDescent="0.3">
      <c r="E748" s="26">
        <v>45303</v>
      </c>
      <c r="F748" s="31">
        <v>0</v>
      </c>
    </row>
    <row r="749" spans="5:6" x14ac:dyDescent="0.3">
      <c r="E749" s="26">
        <v>45304</v>
      </c>
      <c r="F749" s="31">
        <v>0</v>
      </c>
    </row>
    <row r="750" spans="5:6" x14ac:dyDescent="0.3">
      <c r="E750" s="26">
        <v>45305</v>
      </c>
      <c r="F750" s="31">
        <v>0</v>
      </c>
    </row>
    <row r="751" spans="5:6" x14ac:dyDescent="0.3">
      <c r="E751" s="26">
        <v>45306</v>
      </c>
      <c r="F751" s="31">
        <v>0</v>
      </c>
    </row>
    <row r="752" spans="5:6" x14ac:dyDescent="0.3">
      <c r="E752" s="26">
        <v>45307</v>
      </c>
      <c r="F752" s="31">
        <v>10.6</v>
      </c>
    </row>
    <row r="753" spans="5:6" x14ac:dyDescent="0.3">
      <c r="E753" s="26">
        <v>45308</v>
      </c>
      <c r="F753" s="31">
        <v>6.5</v>
      </c>
    </row>
    <row r="754" spans="5:6" x14ac:dyDescent="0.3">
      <c r="E754" s="26">
        <v>45309</v>
      </c>
      <c r="F754" s="31">
        <v>35.700000000000003</v>
      </c>
    </row>
    <row r="755" spans="5:6" x14ac:dyDescent="0.3">
      <c r="E755" s="26">
        <v>45310</v>
      </c>
      <c r="F755" s="31">
        <v>0</v>
      </c>
    </row>
    <row r="756" spans="5:6" x14ac:dyDescent="0.3">
      <c r="E756" s="26">
        <v>45311</v>
      </c>
      <c r="F756" s="31">
        <v>0</v>
      </c>
    </row>
    <row r="757" spans="5:6" x14ac:dyDescent="0.3">
      <c r="E757" s="26">
        <v>45312</v>
      </c>
      <c r="F757" s="31">
        <v>0</v>
      </c>
    </row>
    <row r="758" spans="5:6" x14ac:dyDescent="0.3">
      <c r="E758" s="26">
        <v>45313</v>
      </c>
      <c r="F758" s="31">
        <v>0</v>
      </c>
    </row>
    <row r="759" spans="5:6" x14ac:dyDescent="0.3">
      <c r="E759" s="26">
        <v>45314</v>
      </c>
      <c r="F759" s="31">
        <v>0.7</v>
      </c>
    </row>
    <row r="760" spans="5:6" x14ac:dyDescent="0.3">
      <c r="E760" s="26">
        <v>45315</v>
      </c>
      <c r="F760" s="31">
        <v>0</v>
      </c>
    </row>
    <row r="761" spans="5:6" x14ac:dyDescent="0.3">
      <c r="E761" s="26">
        <v>45316</v>
      </c>
      <c r="F761" s="31">
        <v>2.9</v>
      </c>
    </row>
    <row r="762" spans="5:6" x14ac:dyDescent="0.3">
      <c r="E762" s="26">
        <v>45317</v>
      </c>
      <c r="F762" s="31">
        <v>75</v>
      </c>
    </row>
    <row r="763" spans="5:6" x14ac:dyDescent="0.3">
      <c r="E763" s="26">
        <v>45318</v>
      </c>
      <c r="F763" s="31">
        <v>52.2</v>
      </c>
    </row>
    <row r="764" spans="5:6" x14ac:dyDescent="0.3">
      <c r="E764" s="26">
        <v>45319</v>
      </c>
      <c r="F764" s="31">
        <v>0.8</v>
      </c>
    </row>
    <row r="765" spans="5:6" x14ac:dyDescent="0.3">
      <c r="E765" s="26">
        <v>45320</v>
      </c>
      <c r="F765" s="31">
        <v>58</v>
      </c>
    </row>
    <row r="766" spans="5:6" x14ac:dyDescent="0.3">
      <c r="E766" s="26">
        <v>45321</v>
      </c>
      <c r="F766" s="31">
        <v>0.1</v>
      </c>
    </row>
    <row r="767" spans="5:6" x14ac:dyDescent="0.3">
      <c r="E767" s="26">
        <v>45322</v>
      </c>
      <c r="F767" s="31">
        <v>0</v>
      </c>
    </row>
    <row r="768" spans="5:6" x14ac:dyDescent="0.3">
      <c r="E768" s="26">
        <v>45323</v>
      </c>
      <c r="F768" s="32">
        <v>0</v>
      </c>
    </row>
    <row r="769" spans="5:6" x14ac:dyDescent="0.3">
      <c r="E769" s="26">
        <v>45324</v>
      </c>
      <c r="F769" s="32">
        <v>0</v>
      </c>
    </row>
    <row r="770" spans="5:6" x14ac:dyDescent="0.3">
      <c r="E770" s="26">
        <v>45325</v>
      </c>
      <c r="F770" s="32">
        <v>0</v>
      </c>
    </row>
    <row r="771" spans="5:6" x14ac:dyDescent="0.3">
      <c r="E771" s="26">
        <v>45326</v>
      </c>
      <c r="F771" s="32">
        <v>0</v>
      </c>
    </row>
    <row r="772" spans="5:6" x14ac:dyDescent="0.3">
      <c r="E772" s="26">
        <v>45327</v>
      </c>
      <c r="F772" s="32">
        <v>0</v>
      </c>
    </row>
    <row r="773" spans="5:6" x14ac:dyDescent="0.3">
      <c r="E773" s="26">
        <v>45328</v>
      </c>
      <c r="F773" s="32">
        <v>0</v>
      </c>
    </row>
    <row r="774" spans="5:6" x14ac:dyDescent="0.3">
      <c r="E774" s="26">
        <v>45329</v>
      </c>
      <c r="F774" s="32">
        <v>0</v>
      </c>
    </row>
    <row r="775" spans="5:6" x14ac:dyDescent="0.3">
      <c r="E775" s="26">
        <v>45330</v>
      </c>
      <c r="F775" s="32">
        <v>0</v>
      </c>
    </row>
    <row r="776" spans="5:6" x14ac:dyDescent="0.3">
      <c r="E776" s="26">
        <v>45331</v>
      </c>
      <c r="F776" s="32">
        <v>0</v>
      </c>
    </row>
    <row r="777" spans="5:6" x14ac:dyDescent="0.3">
      <c r="E777" s="26">
        <v>45332</v>
      </c>
      <c r="F777" s="32">
        <v>0</v>
      </c>
    </row>
    <row r="778" spans="5:6" x14ac:dyDescent="0.3">
      <c r="E778" s="26">
        <v>45333</v>
      </c>
      <c r="F778" s="32">
        <v>0</v>
      </c>
    </row>
    <row r="779" spans="5:6" x14ac:dyDescent="0.3">
      <c r="E779" s="26">
        <v>45334</v>
      </c>
      <c r="F779" s="32">
        <v>0</v>
      </c>
    </row>
    <row r="780" spans="5:6" x14ac:dyDescent="0.3">
      <c r="E780" s="26">
        <v>45335</v>
      </c>
      <c r="F780" s="32">
        <v>0</v>
      </c>
    </row>
    <row r="781" spans="5:6" x14ac:dyDescent="0.3">
      <c r="E781" s="26">
        <v>45336</v>
      </c>
      <c r="F781" s="32">
        <v>0.6</v>
      </c>
    </row>
    <row r="782" spans="5:6" x14ac:dyDescent="0.3">
      <c r="E782" s="26">
        <v>45337</v>
      </c>
      <c r="F782" s="32">
        <v>0</v>
      </c>
    </row>
    <row r="783" spans="5:6" x14ac:dyDescent="0.3">
      <c r="E783" s="26">
        <v>45338</v>
      </c>
      <c r="F783" s="32">
        <v>2.2000000000000002</v>
      </c>
    </row>
    <row r="784" spans="5:6" x14ac:dyDescent="0.3">
      <c r="E784" s="26">
        <v>45339</v>
      </c>
      <c r="F784" s="32">
        <v>0</v>
      </c>
    </row>
    <row r="785" spans="5:6" x14ac:dyDescent="0.3">
      <c r="E785" s="26">
        <v>45340</v>
      </c>
      <c r="F785" s="32">
        <v>0</v>
      </c>
    </row>
    <row r="786" spans="5:6" x14ac:dyDescent="0.3">
      <c r="E786" s="26">
        <v>45341</v>
      </c>
      <c r="F786" s="32">
        <v>0</v>
      </c>
    </row>
    <row r="787" spans="5:6" x14ac:dyDescent="0.3">
      <c r="E787" s="26">
        <v>45342</v>
      </c>
      <c r="F787" s="32">
        <v>24.1</v>
      </c>
    </row>
    <row r="788" spans="5:6" x14ac:dyDescent="0.3">
      <c r="E788" s="26">
        <v>45343</v>
      </c>
      <c r="F788" s="32">
        <v>6.8</v>
      </c>
    </row>
    <row r="789" spans="5:6" x14ac:dyDescent="0.3">
      <c r="E789" s="26">
        <v>45344</v>
      </c>
      <c r="F789" s="32">
        <v>3.2</v>
      </c>
    </row>
    <row r="790" spans="5:6" x14ac:dyDescent="0.3">
      <c r="E790" s="26">
        <v>45345</v>
      </c>
      <c r="F790" s="32">
        <v>0</v>
      </c>
    </row>
    <row r="791" spans="5:6" x14ac:dyDescent="0.3">
      <c r="E791" s="26">
        <v>45346</v>
      </c>
      <c r="F791" s="32">
        <v>1.1000000000000001</v>
      </c>
    </row>
    <row r="792" spans="5:6" x14ac:dyDescent="0.3">
      <c r="E792" s="26">
        <v>45347</v>
      </c>
      <c r="F792" s="32">
        <v>0.3</v>
      </c>
    </row>
    <row r="793" spans="5:6" x14ac:dyDescent="0.3">
      <c r="E793" s="26">
        <v>45348</v>
      </c>
      <c r="F793" s="32">
        <v>0</v>
      </c>
    </row>
    <row r="794" spans="5:6" x14ac:dyDescent="0.3">
      <c r="E794" s="26">
        <v>45349</v>
      </c>
      <c r="F794" s="32">
        <v>0</v>
      </c>
    </row>
    <row r="795" spans="5:6" x14ac:dyDescent="0.3">
      <c r="E795" s="26">
        <v>45350</v>
      </c>
      <c r="F795" s="32">
        <v>0</v>
      </c>
    </row>
    <row r="796" spans="5:6" x14ac:dyDescent="0.3">
      <c r="E796" s="26">
        <v>45351</v>
      </c>
      <c r="F796" s="32">
        <v>0</v>
      </c>
    </row>
    <row r="797" spans="5:6" x14ac:dyDescent="0.3">
      <c r="E797" s="26">
        <v>45352</v>
      </c>
      <c r="F797" s="51">
        <v>0</v>
      </c>
    </row>
    <row r="798" spans="5:6" x14ac:dyDescent="0.3">
      <c r="E798" s="26">
        <v>45353</v>
      </c>
      <c r="F798" s="51">
        <v>0</v>
      </c>
    </row>
    <row r="799" spans="5:6" x14ac:dyDescent="0.3">
      <c r="E799" s="26">
        <v>45354</v>
      </c>
      <c r="F799" s="51">
        <v>0</v>
      </c>
    </row>
    <row r="800" spans="5:6" x14ac:dyDescent="0.3">
      <c r="E800" s="26">
        <v>45355</v>
      </c>
      <c r="F800" s="51">
        <v>0</v>
      </c>
    </row>
    <row r="801" spans="5:6" x14ac:dyDescent="0.3">
      <c r="E801" s="26">
        <v>45356</v>
      </c>
      <c r="F801" s="51">
        <v>1.7</v>
      </c>
    </row>
    <row r="802" spans="5:6" x14ac:dyDescent="0.3">
      <c r="E802" s="26">
        <v>45357</v>
      </c>
      <c r="F802" s="51">
        <v>0.7</v>
      </c>
    </row>
    <row r="803" spans="5:6" x14ac:dyDescent="0.3">
      <c r="E803" s="26">
        <v>45358</v>
      </c>
      <c r="F803" s="51">
        <v>0</v>
      </c>
    </row>
    <row r="804" spans="5:6" x14ac:dyDescent="0.3">
      <c r="E804" s="26">
        <v>45359</v>
      </c>
      <c r="F804" s="51">
        <v>0</v>
      </c>
    </row>
    <row r="805" spans="5:6" x14ac:dyDescent="0.3">
      <c r="E805" s="26">
        <v>45360</v>
      </c>
      <c r="F805" s="51">
        <v>0</v>
      </c>
    </row>
    <row r="806" spans="5:6" x14ac:dyDescent="0.3">
      <c r="E806" s="26">
        <v>45361</v>
      </c>
      <c r="F806" s="51">
        <v>0</v>
      </c>
    </row>
    <row r="807" spans="5:6" x14ac:dyDescent="0.3">
      <c r="E807" s="26">
        <v>45362</v>
      </c>
      <c r="F807" s="51">
        <v>0</v>
      </c>
    </row>
    <row r="808" spans="5:6" x14ac:dyDescent="0.3">
      <c r="E808" s="26">
        <v>45363</v>
      </c>
      <c r="F808" s="51">
        <v>0</v>
      </c>
    </row>
    <row r="809" spans="5:6" x14ac:dyDescent="0.3">
      <c r="E809" s="26">
        <v>45364</v>
      </c>
      <c r="F809" s="51">
        <v>0</v>
      </c>
    </row>
    <row r="810" spans="5:6" x14ac:dyDescent="0.3">
      <c r="E810" s="26">
        <v>45365</v>
      </c>
      <c r="F810" s="51">
        <v>0</v>
      </c>
    </row>
    <row r="811" spans="5:6" x14ac:dyDescent="0.3">
      <c r="E811" s="26">
        <v>45366</v>
      </c>
      <c r="F811" s="51">
        <v>0</v>
      </c>
    </row>
    <row r="812" spans="5:6" x14ac:dyDescent="0.3">
      <c r="E812" s="26">
        <v>45367</v>
      </c>
      <c r="F812" s="51">
        <v>0</v>
      </c>
    </row>
    <row r="813" spans="5:6" x14ac:dyDescent="0.3">
      <c r="E813" s="26">
        <v>45368</v>
      </c>
      <c r="F813" s="51">
        <v>0.2</v>
      </c>
    </row>
    <row r="814" spans="5:6" x14ac:dyDescent="0.3">
      <c r="E814" s="26">
        <v>45369</v>
      </c>
      <c r="F814" s="51">
        <v>0</v>
      </c>
    </row>
    <row r="815" spans="5:6" x14ac:dyDescent="0.3">
      <c r="E815" s="26">
        <v>45370</v>
      </c>
      <c r="F815" s="51">
        <v>1</v>
      </c>
    </row>
    <row r="816" spans="5:6" x14ac:dyDescent="0.3">
      <c r="E816" s="26">
        <v>45371</v>
      </c>
      <c r="F816" s="51">
        <v>0</v>
      </c>
    </row>
    <row r="817" spans="5:6" x14ac:dyDescent="0.3">
      <c r="E817" s="26">
        <v>45372</v>
      </c>
      <c r="F817" s="51">
        <v>0</v>
      </c>
    </row>
    <row r="818" spans="5:6" x14ac:dyDescent="0.3">
      <c r="E818" s="26">
        <v>45373</v>
      </c>
      <c r="F818" s="51">
        <v>0</v>
      </c>
    </row>
    <row r="819" spans="5:6" x14ac:dyDescent="0.3">
      <c r="E819" s="26">
        <v>45374</v>
      </c>
      <c r="F819" s="51">
        <v>0</v>
      </c>
    </row>
    <row r="820" spans="5:6" x14ac:dyDescent="0.3">
      <c r="E820" s="26">
        <v>45375</v>
      </c>
      <c r="F820" s="51">
        <v>0</v>
      </c>
    </row>
    <row r="821" spans="5:6" x14ac:dyDescent="0.3">
      <c r="E821" s="26">
        <v>45376</v>
      </c>
      <c r="F821" s="51">
        <v>0</v>
      </c>
    </row>
    <row r="822" spans="5:6" x14ac:dyDescent="0.3">
      <c r="E822" s="26">
        <v>45377</v>
      </c>
      <c r="F822" s="51">
        <v>12.7</v>
      </c>
    </row>
    <row r="823" spans="5:6" x14ac:dyDescent="0.3">
      <c r="E823" s="26">
        <v>45378</v>
      </c>
      <c r="F823" s="51">
        <v>0.3</v>
      </c>
    </row>
    <row r="824" spans="5:6" x14ac:dyDescent="0.3">
      <c r="E824" s="26">
        <v>45379</v>
      </c>
      <c r="F824" s="51">
        <v>50.5</v>
      </c>
    </row>
    <row r="825" spans="5:6" x14ac:dyDescent="0.3">
      <c r="E825" s="26">
        <v>45380</v>
      </c>
      <c r="F825" s="51">
        <v>0</v>
      </c>
    </row>
    <row r="826" spans="5:6" x14ac:dyDescent="0.3">
      <c r="E826" s="26">
        <v>45381</v>
      </c>
      <c r="F826" s="51">
        <v>6.3</v>
      </c>
    </row>
    <row r="827" spans="5:6" x14ac:dyDescent="0.3">
      <c r="E827" s="26">
        <v>45382</v>
      </c>
      <c r="F827" s="51">
        <v>6.5</v>
      </c>
    </row>
    <row r="828" spans="5:6" x14ac:dyDescent="0.3">
      <c r="E828" s="26">
        <v>45383</v>
      </c>
      <c r="F828" s="52">
        <v>0</v>
      </c>
    </row>
    <row r="829" spans="5:6" x14ac:dyDescent="0.3">
      <c r="E829" s="26">
        <v>45384</v>
      </c>
      <c r="F829" s="52">
        <v>47.5</v>
      </c>
    </row>
    <row r="830" spans="5:6" x14ac:dyDescent="0.3">
      <c r="E830" s="26">
        <v>45385</v>
      </c>
      <c r="F830" s="52">
        <v>15.2</v>
      </c>
    </row>
    <row r="831" spans="5:6" x14ac:dyDescent="0.3">
      <c r="E831" s="26">
        <v>45386</v>
      </c>
      <c r="F831" s="52">
        <v>1</v>
      </c>
    </row>
    <row r="832" spans="5:6" x14ac:dyDescent="0.3">
      <c r="E832" s="26">
        <v>45387</v>
      </c>
      <c r="F832" s="52">
        <v>0</v>
      </c>
    </row>
    <row r="833" spans="5:6" x14ac:dyDescent="0.3">
      <c r="E833" s="26">
        <v>45388</v>
      </c>
      <c r="F833" s="52">
        <v>0.3</v>
      </c>
    </row>
    <row r="834" spans="5:6" x14ac:dyDescent="0.3">
      <c r="E834" s="26">
        <v>45389</v>
      </c>
      <c r="F834" s="52">
        <v>0</v>
      </c>
    </row>
    <row r="835" spans="5:6" x14ac:dyDescent="0.3">
      <c r="E835" s="26">
        <v>45390</v>
      </c>
      <c r="F835" s="52">
        <v>10.199999999999999</v>
      </c>
    </row>
    <row r="836" spans="5:6" x14ac:dyDescent="0.3">
      <c r="E836" s="26">
        <v>45391</v>
      </c>
      <c r="F836" s="52">
        <v>1.5</v>
      </c>
    </row>
    <row r="837" spans="5:6" x14ac:dyDescent="0.3">
      <c r="E837" s="26">
        <v>45392</v>
      </c>
      <c r="F837" s="52">
        <v>39.1</v>
      </c>
    </row>
    <row r="838" spans="5:6" x14ac:dyDescent="0.3">
      <c r="E838" s="26">
        <v>45393</v>
      </c>
      <c r="F838" s="52">
        <v>0</v>
      </c>
    </row>
    <row r="839" spans="5:6" x14ac:dyDescent="0.3">
      <c r="E839" s="26">
        <v>45394</v>
      </c>
      <c r="F839" s="52">
        <v>1.4</v>
      </c>
    </row>
    <row r="840" spans="5:6" x14ac:dyDescent="0.3">
      <c r="E840" s="26">
        <v>45395</v>
      </c>
      <c r="F840" s="52">
        <v>9.6999999999999993</v>
      </c>
    </row>
    <row r="841" spans="5:6" x14ac:dyDescent="0.3">
      <c r="E841" s="26">
        <v>45396</v>
      </c>
      <c r="F841" s="52">
        <v>0</v>
      </c>
    </row>
    <row r="842" spans="5:6" x14ac:dyDescent="0.3">
      <c r="E842" s="26">
        <v>45397</v>
      </c>
      <c r="F842" s="52">
        <v>0</v>
      </c>
    </row>
    <row r="843" spans="5:6" x14ac:dyDescent="0.3">
      <c r="E843" s="26">
        <v>45398</v>
      </c>
      <c r="F843" s="52">
        <v>2</v>
      </c>
    </row>
    <row r="844" spans="5:6" x14ac:dyDescent="0.3">
      <c r="E844" s="26">
        <v>45399</v>
      </c>
      <c r="F844" s="52">
        <v>1.6</v>
      </c>
    </row>
    <row r="845" spans="5:6" x14ac:dyDescent="0.3">
      <c r="E845" s="26">
        <v>45400</v>
      </c>
      <c r="F845" s="52">
        <v>6.5</v>
      </c>
    </row>
    <row r="846" spans="5:6" x14ac:dyDescent="0.3">
      <c r="E846" s="26">
        <v>45401</v>
      </c>
      <c r="F846" s="52">
        <v>0.5</v>
      </c>
    </row>
    <row r="847" spans="5:6" x14ac:dyDescent="0.3">
      <c r="E847" s="26">
        <v>45402</v>
      </c>
      <c r="F847" s="52">
        <v>2</v>
      </c>
    </row>
    <row r="848" spans="5:6" x14ac:dyDescent="0.3">
      <c r="E848" s="26">
        <v>45403</v>
      </c>
      <c r="F848" s="52">
        <v>0</v>
      </c>
    </row>
    <row r="849" spans="5:6" x14ac:dyDescent="0.3">
      <c r="E849" s="26">
        <v>45404</v>
      </c>
      <c r="F849" s="52">
        <v>2.7</v>
      </c>
    </row>
    <row r="850" spans="5:6" x14ac:dyDescent="0.3">
      <c r="E850" s="26">
        <v>45405</v>
      </c>
      <c r="F850" s="52">
        <v>6</v>
      </c>
    </row>
    <row r="851" spans="5:6" x14ac:dyDescent="0.3">
      <c r="E851" s="26">
        <v>45406</v>
      </c>
      <c r="F851" s="52">
        <v>6.2</v>
      </c>
    </row>
    <row r="852" spans="5:6" x14ac:dyDescent="0.3">
      <c r="E852" s="26">
        <v>45407</v>
      </c>
      <c r="F852" s="52">
        <v>7.4</v>
      </c>
    </row>
    <row r="853" spans="5:6" x14ac:dyDescent="0.3">
      <c r="E853" s="26">
        <v>45408</v>
      </c>
      <c r="F853" s="52">
        <v>9.9</v>
      </c>
    </row>
    <row r="854" spans="5:6" x14ac:dyDescent="0.3">
      <c r="E854" s="26">
        <v>45409</v>
      </c>
      <c r="F854" s="52">
        <v>4.5</v>
      </c>
    </row>
    <row r="855" spans="5:6" x14ac:dyDescent="0.3">
      <c r="E855" s="26">
        <v>45410</v>
      </c>
      <c r="F855" s="52">
        <v>0.1</v>
      </c>
    </row>
    <row r="856" spans="5:6" x14ac:dyDescent="0.3">
      <c r="E856" s="26">
        <v>45411</v>
      </c>
      <c r="F856" s="52">
        <v>0.5</v>
      </c>
    </row>
    <row r="857" spans="5:6" x14ac:dyDescent="0.3">
      <c r="E857" s="26">
        <v>45412</v>
      </c>
      <c r="F857" s="52">
        <v>4.7</v>
      </c>
    </row>
    <row r="858" spans="5:6" x14ac:dyDescent="0.3">
      <c r="E858" s="26">
        <v>45413</v>
      </c>
      <c r="F858" s="35">
        <v>13.6</v>
      </c>
    </row>
    <row r="859" spans="5:6" x14ac:dyDescent="0.3">
      <c r="E859" s="26">
        <v>45414</v>
      </c>
      <c r="F859" s="35">
        <v>5.3</v>
      </c>
    </row>
    <row r="860" spans="5:6" x14ac:dyDescent="0.3">
      <c r="E860" s="26">
        <v>45415</v>
      </c>
      <c r="F860" s="35">
        <v>0.5</v>
      </c>
    </row>
    <row r="861" spans="5:6" x14ac:dyDescent="0.3">
      <c r="E861" s="26">
        <v>45416</v>
      </c>
      <c r="F861" s="35">
        <v>2.5</v>
      </c>
    </row>
    <row r="862" spans="5:6" x14ac:dyDescent="0.3">
      <c r="E862" s="26">
        <v>45417</v>
      </c>
      <c r="F862" s="35">
        <v>5.5</v>
      </c>
    </row>
    <row r="863" spans="5:6" x14ac:dyDescent="0.3">
      <c r="E863" s="26">
        <v>45418</v>
      </c>
      <c r="F863" s="35">
        <v>8</v>
      </c>
    </row>
    <row r="864" spans="5:6" x14ac:dyDescent="0.3">
      <c r="E864" s="26">
        <v>45419</v>
      </c>
      <c r="F864" s="35">
        <v>9.8000000000000007</v>
      </c>
    </row>
    <row r="865" spans="5:6" x14ac:dyDescent="0.3">
      <c r="E865" s="26">
        <v>45420</v>
      </c>
      <c r="F865" s="35">
        <v>16</v>
      </c>
    </row>
    <row r="866" spans="5:6" x14ac:dyDescent="0.3">
      <c r="E866" s="26">
        <v>45421</v>
      </c>
      <c r="F866" s="35">
        <v>14.2</v>
      </c>
    </row>
    <row r="867" spans="5:6" x14ac:dyDescent="0.3">
      <c r="E867" s="26">
        <v>45422</v>
      </c>
      <c r="F867" s="35">
        <v>0</v>
      </c>
    </row>
    <row r="868" spans="5:6" x14ac:dyDescent="0.3">
      <c r="E868" s="26">
        <v>45423</v>
      </c>
      <c r="F868" s="35">
        <v>31</v>
      </c>
    </row>
    <row r="869" spans="5:6" x14ac:dyDescent="0.3">
      <c r="E869" s="26">
        <v>45424</v>
      </c>
      <c r="F869" s="35">
        <v>0</v>
      </c>
    </row>
    <row r="870" spans="5:6" x14ac:dyDescent="0.3">
      <c r="E870" s="26">
        <v>45425</v>
      </c>
      <c r="F870" s="35">
        <v>29</v>
      </c>
    </row>
    <row r="871" spans="5:6" x14ac:dyDescent="0.3">
      <c r="E871" s="26">
        <v>45426</v>
      </c>
      <c r="F871" s="35">
        <v>19</v>
      </c>
    </row>
    <row r="872" spans="5:6" x14ac:dyDescent="0.3">
      <c r="E872" s="26">
        <v>45427</v>
      </c>
      <c r="F872" s="35">
        <v>14</v>
      </c>
    </row>
    <row r="873" spans="5:6" x14ac:dyDescent="0.3">
      <c r="E873" s="26">
        <v>45428</v>
      </c>
      <c r="F873" s="35">
        <v>0</v>
      </c>
    </row>
    <row r="874" spans="5:6" x14ac:dyDescent="0.3">
      <c r="E874" s="26">
        <v>45429</v>
      </c>
      <c r="F874" s="35">
        <v>2</v>
      </c>
    </row>
    <row r="875" spans="5:6" x14ac:dyDescent="0.3">
      <c r="E875" s="26">
        <v>45430</v>
      </c>
      <c r="F875" s="35">
        <v>3.5</v>
      </c>
    </row>
    <row r="876" spans="5:6" x14ac:dyDescent="0.3">
      <c r="E876" s="26">
        <v>45431</v>
      </c>
      <c r="F876" s="35">
        <v>9</v>
      </c>
    </row>
    <row r="877" spans="5:6" x14ac:dyDescent="0.3">
      <c r="E877" s="26">
        <v>45432</v>
      </c>
      <c r="F877" s="35">
        <v>21.5</v>
      </c>
    </row>
    <row r="878" spans="5:6" x14ac:dyDescent="0.3">
      <c r="E878" s="26">
        <v>45433</v>
      </c>
      <c r="F878" s="35">
        <v>15.5</v>
      </c>
    </row>
    <row r="879" spans="5:6" x14ac:dyDescent="0.3">
      <c r="E879" s="26">
        <v>45434</v>
      </c>
      <c r="F879" s="35">
        <v>16.100000000000001</v>
      </c>
    </row>
    <row r="880" spans="5:6" x14ac:dyDescent="0.3">
      <c r="E880" s="26">
        <v>45435</v>
      </c>
      <c r="F880" s="35">
        <v>7.9</v>
      </c>
    </row>
    <row r="881" spans="5:6" x14ac:dyDescent="0.3">
      <c r="E881" s="26">
        <v>45436</v>
      </c>
      <c r="F881" s="35">
        <v>0</v>
      </c>
    </row>
    <row r="882" spans="5:6" x14ac:dyDescent="0.3">
      <c r="E882" s="26">
        <v>45437</v>
      </c>
      <c r="F882" s="35">
        <v>0</v>
      </c>
    </row>
    <row r="883" spans="5:6" x14ac:dyDescent="0.3">
      <c r="E883" s="26">
        <v>45438</v>
      </c>
      <c r="F883" s="35">
        <v>0</v>
      </c>
    </row>
    <row r="884" spans="5:6" x14ac:dyDescent="0.3">
      <c r="E884" s="26">
        <v>45439</v>
      </c>
      <c r="F884" s="35">
        <v>0</v>
      </c>
    </row>
    <row r="885" spans="5:6" x14ac:dyDescent="0.3">
      <c r="E885" s="26">
        <v>45440</v>
      </c>
      <c r="F885" s="35">
        <v>0</v>
      </c>
    </row>
    <row r="886" spans="5:6" x14ac:dyDescent="0.3">
      <c r="E886" s="26">
        <v>45441</v>
      </c>
      <c r="F886" s="35">
        <v>0</v>
      </c>
    </row>
    <row r="887" spans="5:6" x14ac:dyDescent="0.3">
      <c r="E887" s="26">
        <v>45442</v>
      </c>
      <c r="F887" s="35">
        <v>0</v>
      </c>
    </row>
    <row r="888" spans="5:6" x14ac:dyDescent="0.3">
      <c r="E888" s="26">
        <v>45443</v>
      </c>
      <c r="F888" s="35">
        <v>0</v>
      </c>
    </row>
    <row r="889" spans="5:6" x14ac:dyDescent="0.3">
      <c r="E889" s="26">
        <v>45444</v>
      </c>
      <c r="F889" s="36">
        <v>0</v>
      </c>
    </row>
    <row r="890" spans="5:6" x14ac:dyDescent="0.3">
      <c r="E890" s="26">
        <v>45445</v>
      </c>
      <c r="F890" s="36">
        <v>0</v>
      </c>
    </row>
    <row r="891" spans="5:6" x14ac:dyDescent="0.3">
      <c r="E891" s="26">
        <v>45446</v>
      </c>
      <c r="F891" s="36">
        <v>0</v>
      </c>
    </row>
    <row r="892" spans="5:6" x14ac:dyDescent="0.3">
      <c r="E892" s="26">
        <v>45447</v>
      </c>
      <c r="F892" s="36">
        <v>0</v>
      </c>
    </row>
    <row r="893" spans="5:6" x14ac:dyDescent="0.3">
      <c r="E893" s="26">
        <v>45448</v>
      </c>
      <c r="F893" s="36">
        <v>0</v>
      </c>
    </row>
    <row r="894" spans="5:6" x14ac:dyDescent="0.3">
      <c r="E894" s="26">
        <v>45449</v>
      </c>
      <c r="F894" s="36">
        <v>0</v>
      </c>
    </row>
    <row r="895" spans="5:6" x14ac:dyDescent="0.3">
      <c r="E895" s="26">
        <v>45450</v>
      </c>
      <c r="F895" s="36">
        <v>0</v>
      </c>
    </row>
    <row r="896" spans="5:6" x14ac:dyDescent="0.3">
      <c r="E896" s="26">
        <v>45451</v>
      </c>
      <c r="F896" s="36">
        <v>0</v>
      </c>
    </row>
    <row r="897" spans="5:6" x14ac:dyDescent="0.3">
      <c r="E897" s="26">
        <v>45452</v>
      </c>
      <c r="F897" s="36">
        <v>0</v>
      </c>
    </row>
    <row r="898" spans="5:6" x14ac:dyDescent="0.3">
      <c r="E898" s="26">
        <v>45453</v>
      </c>
      <c r="F898" s="36">
        <v>0</v>
      </c>
    </row>
    <row r="899" spans="5:6" x14ac:dyDescent="0.3">
      <c r="E899" s="26">
        <v>45454</v>
      </c>
      <c r="F899" s="36">
        <v>0</v>
      </c>
    </row>
    <row r="900" spans="5:6" x14ac:dyDescent="0.3">
      <c r="E900" s="26">
        <v>45455</v>
      </c>
      <c r="F900" s="36">
        <v>0</v>
      </c>
    </row>
    <row r="901" spans="5:6" x14ac:dyDescent="0.3">
      <c r="E901" s="26">
        <v>45456</v>
      </c>
      <c r="F901" s="36">
        <v>0</v>
      </c>
    </row>
    <row r="902" spans="5:6" x14ac:dyDescent="0.3">
      <c r="E902" s="26">
        <v>45457</v>
      </c>
      <c r="F902" s="36">
        <v>0</v>
      </c>
    </row>
    <row r="903" spans="5:6" x14ac:dyDescent="0.3">
      <c r="E903" s="26">
        <v>45458</v>
      </c>
      <c r="F903" s="36">
        <v>0</v>
      </c>
    </row>
    <row r="904" spans="5:6" x14ac:dyDescent="0.3">
      <c r="E904" s="26">
        <v>45459</v>
      </c>
      <c r="F904" s="36">
        <v>0</v>
      </c>
    </row>
    <row r="905" spans="5:6" x14ac:dyDescent="0.3">
      <c r="E905" s="26">
        <v>45460</v>
      </c>
      <c r="F905" s="36">
        <v>0</v>
      </c>
    </row>
    <row r="906" spans="5:6" x14ac:dyDescent="0.3">
      <c r="E906" s="26">
        <v>45461</v>
      </c>
      <c r="F906" s="36">
        <v>0</v>
      </c>
    </row>
    <row r="907" spans="5:6" x14ac:dyDescent="0.3">
      <c r="E907" s="26">
        <v>45462</v>
      </c>
      <c r="F907" s="36">
        <v>0</v>
      </c>
    </row>
    <row r="908" spans="5:6" x14ac:dyDescent="0.3">
      <c r="E908" s="26">
        <v>45463</v>
      </c>
      <c r="F908" s="36">
        <v>1.8</v>
      </c>
    </row>
    <row r="909" spans="5:6" x14ac:dyDescent="0.3">
      <c r="E909" s="26">
        <v>45464</v>
      </c>
      <c r="F909" s="36">
        <v>7</v>
      </c>
    </row>
    <row r="910" spans="5:6" x14ac:dyDescent="0.3">
      <c r="E910" s="26">
        <v>45465</v>
      </c>
      <c r="F910" s="36">
        <v>0</v>
      </c>
    </row>
    <row r="911" spans="5:6" x14ac:dyDescent="0.3">
      <c r="E911" s="26">
        <v>45466</v>
      </c>
      <c r="F911" s="36">
        <v>2.1</v>
      </c>
    </row>
    <row r="912" spans="5:6" x14ac:dyDescent="0.3">
      <c r="E912" s="26">
        <v>45467</v>
      </c>
      <c r="F912" s="36">
        <v>1.5</v>
      </c>
    </row>
    <row r="913" spans="5:6" x14ac:dyDescent="0.3">
      <c r="E913" s="26">
        <v>45468</v>
      </c>
      <c r="F913" s="36">
        <v>0</v>
      </c>
    </row>
    <row r="914" spans="5:6" x14ac:dyDescent="0.3">
      <c r="E914" s="26">
        <v>45469</v>
      </c>
      <c r="F914" s="36">
        <v>0</v>
      </c>
    </row>
    <row r="915" spans="5:6" x14ac:dyDescent="0.3">
      <c r="E915" s="26">
        <v>45470</v>
      </c>
      <c r="F915" s="36">
        <v>0</v>
      </c>
    </row>
    <row r="916" spans="5:6" x14ac:dyDescent="0.3">
      <c r="E916" s="26">
        <v>45471</v>
      </c>
      <c r="F916" s="36">
        <v>5</v>
      </c>
    </row>
    <row r="917" spans="5:6" x14ac:dyDescent="0.3">
      <c r="E917" s="26">
        <v>45472</v>
      </c>
      <c r="F917" s="36">
        <v>3.1</v>
      </c>
    </row>
    <row r="918" spans="5:6" x14ac:dyDescent="0.3">
      <c r="E918" s="26">
        <v>45473</v>
      </c>
      <c r="F918" s="36">
        <v>7.3</v>
      </c>
    </row>
    <row r="919" spans="5:6" x14ac:dyDescent="0.3">
      <c r="E919" s="26">
        <v>45474</v>
      </c>
      <c r="F919" s="37">
        <v>0</v>
      </c>
    </row>
    <row r="920" spans="5:6" x14ac:dyDescent="0.3">
      <c r="E920" s="26">
        <v>45475</v>
      </c>
      <c r="F920" s="37">
        <v>0</v>
      </c>
    </row>
    <row r="921" spans="5:6" x14ac:dyDescent="0.3">
      <c r="E921" s="26">
        <v>45476</v>
      </c>
      <c r="F921" s="37">
        <v>0</v>
      </c>
    </row>
    <row r="922" spans="5:6" x14ac:dyDescent="0.3">
      <c r="E922" s="26">
        <v>45477</v>
      </c>
      <c r="F922" s="37">
        <v>0</v>
      </c>
    </row>
    <row r="923" spans="5:6" x14ac:dyDescent="0.3">
      <c r="E923" s="26">
        <v>45478</v>
      </c>
      <c r="F923" s="37">
        <v>0</v>
      </c>
    </row>
    <row r="924" spans="5:6" x14ac:dyDescent="0.3">
      <c r="E924" s="26">
        <v>45479</v>
      </c>
      <c r="F924" s="37">
        <v>0</v>
      </c>
    </row>
    <row r="925" spans="5:6" x14ac:dyDescent="0.3">
      <c r="E925" s="26">
        <v>45480</v>
      </c>
      <c r="F925" s="37">
        <v>0</v>
      </c>
    </row>
    <row r="926" spans="5:6" x14ac:dyDescent="0.3">
      <c r="E926" s="26">
        <v>45481</v>
      </c>
      <c r="F926" s="37">
        <v>1</v>
      </c>
    </row>
    <row r="927" spans="5:6" x14ac:dyDescent="0.3">
      <c r="E927" s="26">
        <v>45482</v>
      </c>
      <c r="F927" s="37">
        <v>0</v>
      </c>
    </row>
    <row r="928" spans="5:6" x14ac:dyDescent="0.3">
      <c r="E928" s="26">
        <v>45483</v>
      </c>
      <c r="F928" s="37">
        <v>4</v>
      </c>
    </row>
    <row r="929" spans="5:6" x14ac:dyDescent="0.3">
      <c r="E929" s="26">
        <v>45484</v>
      </c>
      <c r="F929" s="37">
        <v>1</v>
      </c>
    </row>
    <row r="930" spans="5:6" x14ac:dyDescent="0.3">
      <c r="E930" s="26">
        <v>45485</v>
      </c>
      <c r="F930" s="37">
        <v>0</v>
      </c>
    </row>
    <row r="931" spans="5:6" x14ac:dyDescent="0.3">
      <c r="E931" s="26">
        <v>45486</v>
      </c>
      <c r="F931" s="37">
        <v>0</v>
      </c>
    </row>
    <row r="932" spans="5:6" x14ac:dyDescent="0.3">
      <c r="E932" s="26">
        <v>45487</v>
      </c>
      <c r="F932" s="37">
        <v>0</v>
      </c>
    </row>
    <row r="933" spans="5:6" x14ac:dyDescent="0.3">
      <c r="E933" s="26">
        <v>45488</v>
      </c>
      <c r="F933" s="37">
        <v>27</v>
      </c>
    </row>
    <row r="934" spans="5:6" x14ac:dyDescent="0.3">
      <c r="E934" s="26">
        <v>45489</v>
      </c>
      <c r="F934" s="37">
        <v>0</v>
      </c>
    </row>
    <row r="935" spans="5:6" x14ac:dyDescent="0.3">
      <c r="E935" s="26">
        <v>45490</v>
      </c>
      <c r="F935" s="37">
        <v>0</v>
      </c>
    </row>
    <row r="936" spans="5:6" x14ac:dyDescent="0.3">
      <c r="E936" s="26">
        <v>45491</v>
      </c>
      <c r="F936" s="37">
        <v>0</v>
      </c>
    </row>
    <row r="937" spans="5:6" x14ac:dyDescent="0.3">
      <c r="E937" s="26">
        <v>45492</v>
      </c>
      <c r="F937" s="37">
        <v>0</v>
      </c>
    </row>
    <row r="938" spans="5:6" x14ac:dyDescent="0.3">
      <c r="E938" s="26">
        <v>45493</v>
      </c>
      <c r="F938" s="37">
        <v>0</v>
      </c>
    </row>
    <row r="939" spans="5:6" x14ac:dyDescent="0.3">
      <c r="E939" s="26">
        <v>45494</v>
      </c>
      <c r="F939" s="37">
        <v>0</v>
      </c>
    </row>
    <row r="940" spans="5:6" x14ac:dyDescent="0.3">
      <c r="E940" s="26">
        <v>45495</v>
      </c>
      <c r="F940" s="37">
        <v>0</v>
      </c>
    </row>
    <row r="941" spans="5:6" x14ac:dyDescent="0.3">
      <c r="E941" s="26">
        <v>45496</v>
      </c>
      <c r="F941" s="37">
        <v>0</v>
      </c>
    </row>
    <row r="942" spans="5:6" x14ac:dyDescent="0.3">
      <c r="E942" s="26">
        <v>45497</v>
      </c>
      <c r="F942" s="37">
        <v>0</v>
      </c>
    </row>
    <row r="943" spans="5:6" x14ac:dyDescent="0.3">
      <c r="E943" s="26">
        <v>45498</v>
      </c>
      <c r="F943" s="37">
        <v>0</v>
      </c>
    </row>
    <row r="944" spans="5:6" x14ac:dyDescent="0.3">
      <c r="E944" s="26">
        <v>45499</v>
      </c>
      <c r="F944" s="37">
        <v>0</v>
      </c>
    </row>
    <row r="945" spans="5:6" x14ac:dyDescent="0.3">
      <c r="E945" s="26">
        <v>45500</v>
      </c>
      <c r="F945" s="37">
        <v>0</v>
      </c>
    </row>
    <row r="946" spans="5:6" x14ac:dyDescent="0.3">
      <c r="E946" s="26">
        <v>45501</v>
      </c>
      <c r="F946" s="37">
        <v>0</v>
      </c>
    </row>
    <row r="947" spans="5:6" x14ac:dyDescent="0.3">
      <c r="E947" s="26">
        <v>45502</v>
      </c>
      <c r="F947" s="37">
        <v>0</v>
      </c>
    </row>
    <row r="948" spans="5:6" x14ac:dyDescent="0.3">
      <c r="E948" s="26">
        <v>45503</v>
      </c>
      <c r="F948" s="37">
        <v>0</v>
      </c>
    </row>
    <row r="949" spans="5:6" x14ac:dyDescent="0.3">
      <c r="E949" s="26">
        <v>45504</v>
      </c>
      <c r="F949" s="37">
        <v>0</v>
      </c>
    </row>
    <row r="950" spans="5:6" x14ac:dyDescent="0.3">
      <c r="E950" s="26">
        <v>45505</v>
      </c>
      <c r="F950" s="38">
        <v>0</v>
      </c>
    </row>
    <row r="951" spans="5:6" x14ac:dyDescent="0.3">
      <c r="E951" s="26">
        <v>45506</v>
      </c>
      <c r="F951" s="38">
        <v>0</v>
      </c>
    </row>
    <row r="952" spans="5:6" x14ac:dyDescent="0.3">
      <c r="E952" s="26">
        <v>45507</v>
      </c>
      <c r="F952" s="38">
        <v>0</v>
      </c>
    </row>
    <row r="953" spans="5:6" x14ac:dyDescent="0.3">
      <c r="E953" s="26">
        <v>45508</v>
      </c>
      <c r="F953" s="38">
        <v>0</v>
      </c>
    </row>
    <row r="954" spans="5:6" x14ac:dyDescent="0.3">
      <c r="E954" s="26">
        <v>45509</v>
      </c>
      <c r="F954" s="38">
        <v>0</v>
      </c>
    </row>
    <row r="955" spans="5:6" x14ac:dyDescent="0.3">
      <c r="E955" s="26">
        <v>45510</v>
      </c>
      <c r="F955" s="38">
        <v>0</v>
      </c>
    </row>
    <row r="956" spans="5:6" x14ac:dyDescent="0.3">
      <c r="E956" s="26">
        <v>45511</v>
      </c>
      <c r="F956" s="38">
        <v>0</v>
      </c>
    </row>
    <row r="957" spans="5:6" x14ac:dyDescent="0.3">
      <c r="E957" s="26">
        <v>45512</v>
      </c>
      <c r="F957" s="38">
        <v>0</v>
      </c>
    </row>
    <row r="958" spans="5:6" x14ac:dyDescent="0.3">
      <c r="E958" s="26">
        <v>45513</v>
      </c>
      <c r="F958" s="38">
        <v>0.8</v>
      </c>
    </row>
    <row r="959" spans="5:6" x14ac:dyDescent="0.3">
      <c r="E959" s="26">
        <v>45514</v>
      </c>
      <c r="F959" s="38">
        <v>134.9</v>
      </c>
    </row>
    <row r="960" spans="5:6" x14ac:dyDescent="0.3">
      <c r="E960" s="26">
        <v>45515</v>
      </c>
      <c r="F960" s="38">
        <v>45.2</v>
      </c>
    </row>
    <row r="961" spans="5:6" x14ac:dyDescent="0.3">
      <c r="E961" s="26">
        <v>45516</v>
      </c>
      <c r="F961" s="38">
        <v>60</v>
      </c>
    </row>
    <row r="962" spans="5:6" x14ac:dyDescent="0.3">
      <c r="E962" s="26">
        <v>45517</v>
      </c>
      <c r="F962" s="38">
        <v>0</v>
      </c>
    </row>
    <row r="963" spans="5:6" x14ac:dyDescent="0.3">
      <c r="E963" s="26">
        <v>45518</v>
      </c>
      <c r="F963" s="38">
        <v>15</v>
      </c>
    </row>
    <row r="964" spans="5:6" x14ac:dyDescent="0.3">
      <c r="E964" s="26">
        <v>45519</v>
      </c>
      <c r="F964" s="38">
        <v>0</v>
      </c>
    </row>
    <row r="965" spans="5:6" x14ac:dyDescent="0.3">
      <c r="E965" s="26">
        <v>45520</v>
      </c>
      <c r="F965" s="38">
        <v>0</v>
      </c>
    </row>
    <row r="966" spans="5:6" x14ac:dyDescent="0.3">
      <c r="E966" s="26">
        <v>45521</v>
      </c>
      <c r="F966" s="38">
        <v>5.9</v>
      </c>
    </row>
    <row r="967" spans="5:6" x14ac:dyDescent="0.3">
      <c r="E967" s="26">
        <v>45522</v>
      </c>
      <c r="F967" s="38">
        <v>0</v>
      </c>
    </row>
    <row r="968" spans="5:6" x14ac:dyDescent="0.3">
      <c r="E968" s="26">
        <v>45523</v>
      </c>
      <c r="F968" s="38">
        <v>5.0999999999999996</v>
      </c>
    </row>
    <row r="969" spans="5:6" x14ac:dyDescent="0.3">
      <c r="E969" s="26">
        <v>45524</v>
      </c>
      <c r="F969" s="38">
        <v>14.9</v>
      </c>
    </row>
    <row r="970" spans="5:6" x14ac:dyDescent="0.3">
      <c r="E970" s="26">
        <v>45525</v>
      </c>
      <c r="F970" s="38">
        <v>0</v>
      </c>
    </row>
    <row r="971" spans="5:6" x14ac:dyDescent="0.3">
      <c r="E971" s="26">
        <v>45526</v>
      </c>
      <c r="F971" s="38">
        <v>0</v>
      </c>
    </row>
    <row r="972" spans="5:6" x14ac:dyDescent="0.3">
      <c r="E972" s="26">
        <v>45527</v>
      </c>
      <c r="F972" s="38">
        <v>29.6</v>
      </c>
    </row>
    <row r="973" spans="5:6" x14ac:dyDescent="0.3">
      <c r="E973" s="26">
        <v>45528</v>
      </c>
      <c r="F973" s="38">
        <v>9.9</v>
      </c>
    </row>
    <row r="974" spans="5:6" x14ac:dyDescent="0.3">
      <c r="E974" s="26">
        <v>45529</v>
      </c>
      <c r="F974" s="38">
        <v>0</v>
      </c>
    </row>
    <row r="975" spans="5:6" x14ac:dyDescent="0.3">
      <c r="E975" s="26">
        <v>45530</v>
      </c>
      <c r="F975" s="38">
        <v>8</v>
      </c>
    </row>
    <row r="976" spans="5:6" x14ac:dyDescent="0.3">
      <c r="E976" s="26">
        <v>45531</v>
      </c>
      <c r="F976" s="38">
        <v>12</v>
      </c>
    </row>
    <row r="977" spans="5:6" x14ac:dyDescent="0.3">
      <c r="E977" s="26">
        <v>45532</v>
      </c>
      <c r="F977" s="38">
        <v>10.199999999999999</v>
      </c>
    </row>
    <row r="978" spans="5:6" x14ac:dyDescent="0.3">
      <c r="E978" s="26">
        <v>45533</v>
      </c>
      <c r="F978" s="38">
        <v>2.4</v>
      </c>
    </row>
    <row r="979" spans="5:6" x14ac:dyDescent="0.3">
      <c r="E979" s="26">
        <v>45534</v>
      </c>
      <c r="F979" s="38">
        <v>0</v>
      </c>
    </row>
    <row r="980" spans="5:6" x14ac:dyDescent="0.3">
      <c r="E980" s="26">
        <v>45535</v>
      </c>
      <c r="F980" s="38">
        <v>0</v>
      </c>
    </row>
    <row r="981" spans="5:6" x14ac:dyDescent="0.3">
      <c r="E981" s="26">
        <v>45536</v>
      </c>
      <c r="F981" s="53">
        <v>0</v>
      </c>
    </row>
    <row r="982" spans="5:6" x14ac:dyDescent="0.3">
      <c r="E982" s="26">
        <v>45537</v>
      </c>
      <c r="F982" s="53">
        <v>0</v>
      </c>
    </row>
    <row r="983" spans="5:6" x14ac:dyDescent="0.3">
      <c r="E983" s="26">
        <v>45538</v>
      </c>
      <c r="F983" s="53">
        <v>1.9</v>
      </c>
    </row>
    <row r="984" spans="5:6" x14ac:dyDescent="0.3">
      <c r="E984" s="26">
        <v>45539</v>
      </c>
      <c r="F984" s="53">
        <v>6.5</v>
      </c>
    </row>
    <row r="985" spans="5:6" x14ac:dyDescent="0.3">
      <c r="E985" s="26">
        <v>45540</v>
      </c>
      <c r="F985" s="53">
        <v>1</v>
      </c>
    </row>
    <row r="986" spans="5:6" x14ac:dyDescent="0.3">
      <c r="E986" s="26">
        <v>45541</v>
      </c>
      <c r="F986" s="53">
        <v>0</v>
      </c>
    </row>
    <row r="987" spans="5:6" x14ac:dyDescent="0.3">
      <c r="E987" s="26">
        <v>45542</v>
      </c>
      <c r="F987" s="53">
        <v>5.7</v>
      </c>
    </row>
    <row r="988" spans="5:6" x14ac:dyDescent="0.3">
      <c r="E988" s="26">
        <v>45543</v>
      </c>
      <c r="F988" s="53">
        <v>0.1</v>
      </c>
    </row>
    <row r="989" spans="5:6" x14ac:dyDescent="0.3">
      <c r="E989" s="26">
        <v>45544</v>
      </c>
      <c r="F989" s="53">
        <v>1.4</v>
      </c>
    </row>
    <row r="990" spans="5:6" x14ac:dyDescent="0.3">
      <c r="E990" s="26">
        <v>45545</v>
      </c>
      <c r="F990" s="53">
        <v>0</v>
      </c>
    </row>
    <row r="991" spans="5:6" x14ac:dyDescent="0.3">
      <c r="E991" s="26">
        <v>45546</v>
      </c>
      <c r="F991" s="53">
        <v>0</v>
      </c>
    </row>
    <row r="992" spans="5:6" x14ac:dyDescent="0.3">
      <c r="E992" s="26">
        <v>45547</v>
      </c>
      <c r="F992" s="53">
        <v>0</v>
      </c>
    </row>
    <row r="993" spans="5:6" x14ac:dyDescent="0.3">
      <c r="E993" s="26">
        <v>45548</v>
      </c>
      <c r="F993" s="53">
        <v>0</v>
      </c>
    </row>
    <row r="994" spans="5:6" x14ac:dyDescent="0.3">
      <c r="E994" s="26">
        <v>45549</v>
      </c>
      <c r="F994" s="53">
        <v>4.5</v>
      </c>
    </row>
    <row r="995" spans="5:6" x14ac:dyDescent="0.3">
      <c r="E995" s="26">
        <v>45550</v>
      </c>
      <c r="F995" s="53">
        <v>9.8000000000000007</v>
      </c>
    </row>
    <row r="996" spans="5:6" x14ac:dyDescent="0.3">
      <c r="E996" s="26">
        <v>45551</v>
      </c>
      <c r="F996" s="53">
        <v>8.1999999999999993</v>
      </c>
    </row>
    <row r="997" spans="5:6" x14ac:dyDescent="0.3">
      <c r="E997" s="26">
        <v>45552</v>
      </c>
      <c r="F997" s="53">
        <v>37.5</v>
      </c>
    </row>
    <row r="998" spans="5:6" x14ac:dyDescent="0.3">
      <c r="E998" s="26">
        <v>45553</v>
      </c>
      <c r="F998" s="53">
        <v>69.400000000000006</v>
      </c>
    </row>
    <row r="999" spans="5:6" x14ac:dyDescent="0.3">
      <c r="E999" s="26">
        <v>45554</v>
      </c>
      <c r="F999" s="53">
        <v>9.6999999999999993</v>
      </c>
    </row>
    <row r="1000" spans="5:6" x14ac:dyDescent="0.3">
      <c r="E1000" s="26">
        <v>45555</v>
      </c>
      <c r="F1000" s="53">
        <v>6</v>
      </c>
    </row>
    <row r="1001" spans="5:6" x14ac:dyDescent="0.3">
      <c r="E1001" s="26">
        <v>45556</v>
      </c>
      <c r="F1001" s="53">
        <v>4.4000000000000004</v>
      </c>
    </row>
    <row r="1002" spans="5:6" x14ac:dyDescent="0.3">
      <c r="E1002" s="26">
        <v>45557</v>
      </c>
      <c r="F1002" s="53">
        <v>3.8</v>
      </c>
    </row>
    <row r="1003" spans="5:6" x14ac:dyDescent="0.3">
      <c r="E1003" s="26">
        <v>45558</v>
      </c>
      <c r="F1003" s="53">
        <v>3.1</v>
      </c>
    </row>
    <row r="1004" spans="5:6" x14ac:dyDescent="0.3">
      <c r="E1004" s="26">
        <v>45559</v>
      </c>
      <c r="F1004" s="53">
        <v>1</v>
      </c>
    </row>
    <row r="1005" spans="5:6" x14ac:dyDescent="0.3">
      <c r="E1005" s="26">
        <v>45560</v>
      </c>
      <c r="F1005" s="53">
        <v>1</v>
      </c>
    </row>
    <row r="1006" spans="5:6" x14ac:dyDescent="0.3">
      <c r="E1006" s="26">
        <v>45561</v>
      </c>
      <c r="F1006" s="53">
        <v>0</v>
      </c>
    </row>
    <row r="1007" spans="5:6" x14ac:dyDescent="0.3">
      <c r="E1007" s="26">
        <v>45562</v>
      </c>
      <c r="F1007" s="53">
        <v>0</v>
      </c>
    </row>
    <row r="1008" spans="5:6" x14ac:dyDescent="0.3">
      <c r="E1008" s="26">
        <v>45563</v>
      </c>
      <c r="F1008" s="53">
        <v>11.6</v>
      </c>
    </row>
    <row r="1009" spans="5:6" x14ac:dyDescent="0.3">
      <c r="E1009" s="26">
        <v>45564</v>
      </c>
      <c r="F1009" s="53">
        <v>24.9</v>
      </c>
    </row>
    <row r="1010" spans="5:6" x14ac:dyDescent="0.3">
      <c r="E1010" s="26">
        <v>45565</v>
      </c>
      <c r="F1010" s="53">
        <v>0</v>
      </c>
    </row>
    <row r="1011" spans="5:6" x14ac:dyDescent="0.3">
      <c r="E1011" s="26">
        <v>45566</v>
      </c>
      <c r="F1011" s="54">
        <v>0</v>
      </c>
    </row>
    <row r="1012" spans="5:6" x14ac:dyDescent="0.3">
      <c r="E1012" s="26">
        <v>45567</v>
      </c>
      <c r="F1012" s="54">
        <v>0</v>
      </c>
    </row>
    <row r="1013" spans="5:6" x14ac:dyDescent="0.3">
      <c r="E1013" s="26">
        <v>45568</v>
      </c>
      <c r="F1013" s="54">
        <v>3.1</v>
      </c>
    </row>
    <row r="1014" spans="5:6" x14ac:dyDescent="0.3">
      <c r="E1014" s="26">
        <v>45569</v>
      </c>
      <c r="F1014" s="54">
        <v>5.4</v>
      </c>
    </row>
    <row r="1015" spans="5:6" x14ac:dyDescent="0.3">
      <c r="E1015" s="26">
        <v>45570</v>
      </c>
      <c r="F1015" s="54">
        <v>7</v>
      </c>
    </row>
    <row r="1016" spans="5:6" x14ac:dyDescent="0.3">
      <c r="E1016" s="26">
        <v>45571</v>
      </c>
      <c r="F1016" s="54">
        <v>12.3</v>
      </c>
    </row>
    <row r="1017" spans="5:6" x14ac:dyDescent="0.3">
      <c r="E1017" s="26">
        <v>45572</v>
      </c>
      <c r="F1017" s="54">
        <v>5.3</v>
      </c>
    </row>
    <row r="1018" spans="5:6" x14ac:dyDescent="0.3">
      <c r="E1018" s="26">
        <v>45573</v>
      </c>
      <c r="F1018" s="54">
        <v>6.2</v>
      </c>
    </row>
    <row r="1019" spans="5:6" x14ac:dyDescent="0.3">
      <c r="E1019" s="26">
        <v>45574</v>
      </c>
      <c r="F1019" s="54">
        <v>4.5</v>
      </c>
    </row>
    <row r="1020" spans="5:6" x14ac:dyDescent="0.3">
      <c r="E1020" s="26">
        <v>45575</v>
      </c>
      <c r="F1020" s="54">
        <v>2.8</v>
      </c>
    </row>
    <row r="1021" spans="5:6" x14ac:dyDescent="0.3">
      <c r="E1021" s="26">
        <v>45576</v>
      </c>
      <c r="F1021" s="54">
        <v>0</v>
      </c>
    </row>
    <row r="1022" spans="5:6" x14ac:dyDescent="0.3">
      <c r="E1022" s="26">
        <v>45577</v>
      </c>
      <c r="F1022" s="54">
        <v>21</v>
      </c>
    </row>
    <row r="1023" spans="5:6" x14ac:dyDescent="0.3">
      <c r="E1023" s="26">
        <v>45578</v>
      </c>
      <c r="F1023" s="54">
        <v>6.2</v>
      </c>
    </row>
    <row r="1024" spans="5:6" x14ac:dyDescent="0.3">
      <c r="E1024" s="26">
        <v>45579</v>
      </c>
      <c r="F1024" s="54">
        <v>0.5</v>
      </c>
    </row>
    <row r="1025" spans="5:6" x14ac:dyDescent="0.3">
      <c r="E1025" s="26">
        <v>45580</v>
      </c>
      <c r="F1025" s="54">
        <v>3.1</v>
      </c>
    </row>
    <row r="1026" spans="5:6" x14ac:dyDescent="0.3">
      <c r="E1026" s="26">
        <v>45581</v>
      </c>
      <c r="F1026" s="54">
        <v>2.5</v>
      </c>
    </row>
    <row r="1027" spans="5:6" x14ac:dyDescent="0.3">
      <c r="E1027" s="26">
        <v>45582</v>
      </c>
      <c r="F1027" s="54">
        <v>0</v>
      </c>
    </row>
    <row r="1028" spans="5:6" x14ac:dyDescent="0.3">
      <c r="E1028" s="26">
        <v>45583</v>
      </c>
      <c r="F1028" s="54">
        <v>1</v>
      </c>
    </row>
    <row r="1029" spans="5:6" x14ac:dyDescent="0.3">
      <c r="E1029" s="26">
        <v>45584</v>
      </c>
      <c r="F1029" s="54">
        <v>1.6</v>
      </c>
    </row>
    <row r="1030" spans="5:6" x14ac:dyDescent="0.3">
      <c r="E1030" s="26">
        <v>45585</v>
      </c>
      <c r="F1030" s="54">
        <v>0</v>
      </c>
    </row>
    <row r="1031" spans="5:6" x14ac:dyDescent="0.3">
      <c r="E1031" s="26">
        <v>45586</v>
      </c>
      <c r="F1031" s="54">
        <v>0</v>
      </c>
    </row>
    <row r="1032" spans="5:6" x14ac:dyDescent="0.3">
      <c r="E1032" s="26">
        <v>45587</v>
      </c>
      <c r="F1032" s="54">
        <v>0</v>
      </c>
    </row>
    <row r="1033" spans="5:6" x14ac:dyDescent="0.3">
      <c r="E1033" s="26">
        <v>45588</v>
      </c>
      <c r="F1033" s="54">
        <v>0</v>
      </c>
    </row>
    <row r="1034" spans="5:6" x14ac:dyDescent="0.3">
      <c r="E1034" s="26">
        <v>45589</v>
      </c>
      <c r="F1034" s="54">
        <v>0</v>
      </c>
    </row>
    <row r="1035" spans="5:6" x14ac:dyDescent="0.3">
      <c r="E1035" s="26">
        <v>45590</v>
      </c>
      <c r="F1035" s="54">
        <v>0</v>
      </c>
    </row>
    <row r="1036" spans="5:6" x14ac:dyDescent="0.3">
      <c r="E1036" s="26">
        <v>45591</v>
      </c>
      <c r="F1036" s="54">
        <v>0</v>
      </c>
    </row>
    <row r="1037" spans="5:6" x14ac:dyDescent="0.3">
      <c r="E1037" s="26">
        <v>45592</v>
      </c>
      <c r="F1037" s="54">
        <v>0</v>
      </c>
    </row>
    <row r="1038" spans="5:6" x14ac:dyDescent="0.3">
      <c r="E1038" s="26">
        <v>45593</v>
      </c>
      <c r="F1038" s="54">
        <v>4.5</v>
      </c>
    </row>
    <row r="1039" spans="5:6" x14ac:dyDescent="0.3">
      <c r="E1039" s="26">
        <v>45594</v>
      </c>
      <c r="F1039" s="54">
        <v>0</v>
      </c>
    </row>
    <row r="1040" spans="5:6" x14ac:dyDescent="0.3">
      <c r="E1040" s="26">
        <v>45595</v>
      </c>
      <c r="F1040" s="54">
        <v>0</v>
      </c>
    </row>
    <row r="1041" spans="5:6" x14ac:dyDescent="0.3">
      <c r="E1041" s="26">
        <v>45596</v>
      </c>
      <c r="F1041" s="41">
        <v>0</v>
      </c>
    </row>
    <row r="1042" spans="5:6" x14ac:dyDescent="0.3">
      <c r="E1042" s="26">
        <v>45597</v>
      </c>
      <c r="F1042" s="41">
        <v>0</v>
      </c>
    </row>
    <row r="1043" spans="5:6" x14ac:dyDescent="0.3">
      <c r="E1043" s="26">
        <v>45598</v>
      </c>
      <c r="F1043" s="41">
        <v>0</v>
      </c>
    </row>
    <row r="1044" spans="5:6" x14ac:dyDescent="0.3">
      <c r="E1044" s="26">
        <v>45599</v>
      </c>
      <c r="F1044" s="41">
        <v>0</v>
      </c>
    </row>
    <row r="1045" spans="5:6" x14ac:dyDescent="0.3">
      <c r="E1045" s="26">
        <v>45600</v>
      </c>
      <c r="F1045" s="41">
        <v>0</v>
      </c>
    </row>
    <row r="1046" spans="5:6" x14ac:dyDescent="0.3">
      <c r="E1046" s="26">
        <v>45601</v>
      </c>
      <c r="F1046" s="41">
        <v>0</v>
      </c>
    </row>
    <row r="1047" spans="5:6" x14ac:dyDescent="0.3">
      <c r="E1047" s="26">
        <v>45602</v>
      </c>
      <c r="F1047" s="41">
        <v>0.6</v>
      </c>
    </row>
    <row r="1048" spans="5:6" x14ac:dyDescent="0.3">
      <c r="E1048" s="26">
        <v>45603</v>
      </c>
      <c r="F1048" s="41">
        <v>2.5</v>
      </c>
    </row>
    <row r="1049" spans="5:6" x14ac:dyDescent="0.3">
      <c r="E1049" s="26">
        <v>45604</v>
      </c>
      <c r="F1049" s="41">
        <v>0</v>
      </c>
    </row>
    <row r="1050" spans="5:6" x14ac:dyDescent="0.3">
      <c r="E1050" s="26">
        <v>45605</v>
      </c>
      <c r="F1050" s="41">
        <v>0</v>
      </c>
    </row>
    <row r="1051" spans="5:6" x14ac:dyDescent="0.3">
      <c r="E1051" s="26">
        <v>45606</v>
      </c>
      <c r="F1051" s="41">
        <v>2.1</v>
      </c>
    </row>
    <row r="1052" spans="5:6" x14ac:dyDescent="0.3">
      <c r="E1052" s="26">
        <v>45607</v>
      </c>
      <c r="F1052" s="41">
        <v>0</v>
      </c>
    </row>
    <row r="1053" spans="5:6" x14ac:dyDescent="0.3">
      <c r="E1053" s="26">
        <v>45608</v>
      </c>
      <c r="F1053" s="41">
        <v>2.6</v>
      </c>
    </row>
    <row r="1054" spans="5:6" x14ac:dyDescent="0.3">
      <c r="E1054" s="26">
        <v>45609</v>
      </c>
      <c r="F1054" s="41">
        <v>3.5</v>
      </c>
    </row>
    <row r="1055" spans="5:6" x14ac:dyDescent="0.3">
      <c r="E1055" s="26">
        <v>45610</v>
      </c>
      <c r="F1055" s="41">
        <v>5.2</v>
      </c>
    </row>
    <row r="1056" spans="5:6" x14ac:dyDescent="0.3">
      <c r="E1056" s="26">
        <v>45611</v>
      </c>
      <c r="F1056" s="41">
        <v>1.8</v>
      </c>
    </row>
    <row r="1057" spans="5:6" x14ac:dyDescent="0.3">
      <c r="E1057" s="26">
        <v>45612</v>
      </c>
      <c r="F1057" s="41">
        <v>8.8000000000000007</v>
      </c>
    </row>
    <row r="1058" spans="5:6" x14ac:dyDescent="0.3">
      <c r="E1058" s="26">
        <v>45613</v>
      </c>
      <c r="F1058" s="41">
        <v>6.8</v>
      </c>
    </row>
    <row r="1059" spans="5:6" x14ac:dyDescent="0.3">
      <c r="E1059" s="26">
        <v>45614</v>
      </c>
      <c r="F1059" s="41">
        <v>0.5</v>
      </c>
    </row>
    <row r="1060" spans="5:6" x14ac:dyDescent="0.3">
      <c r="E1060" s="26">
        <v>45615</v>
      </c>
      <c r="F1060" s="41">
        <v>0</v>
      </c>
    </row>
    <row r="1061" spans="5:6" x14ac:dyDescent="0.3">
      <c r="E1061" s="26">
        <v>45616</v>
      </c>
      <c r="F1061" s="41">
        <v>0</v>
      </c>
    </row>
    <row r="1062" spans="5:6" x14ac:dyDescent="0.3">
      <c r="E1062" s="26">
        <v>45617</v>
      </c>
      <c r="F1062" s="41">
        <v>23.8</v>
      </c>
    </row>
    <row r="1063" spans="5:6" x14ac:dyDescent="0.3">
      <c r="E1063" s="26">
        <v>45618</v>
      </c>
      <c r="F1063" s="41">
        <v>9</v>
      </c>
    </row>
    <row r="1064" spans="5:6" x14ac:dyDescent="0.3">
      <c r="E1064" s="26">
        <v>45619</v>
      </c>
      <c r="F1064" s="41">
        <v>29.1</v>
      </c>
    </row>
    <row r="1065" spans="5:6" x14ac:dyDescent="0.3">
      <c r="E1065" s="26">
        <v>45620</v>
      </c>
      <c r="F1065" s="41">
        <v>110.3</v>
      </c>
    </row>
    <row r="1066" spans="5:6" x14ac:dyDescent="0.3">
      <c r="E1066" s="26">
        <v>45621</v>
      </c>
      <c r="F1066" s="41">
        <v>0.3</v>
      </c>
    </row>
    <row r="1067" spans="5:6" x14ac:dyDescent="0.3">
      <c r="E1067" s="26">
        <v>45622</v>
      </c>
      <c r="F1067" s="41">
        <v>44.7</v>
      </c>
    </row>
    <row r="1068" spans="5:6" x14ac:dyDescent="0.3">
      <c r="E1068" s="26">
        <v>45623</v>
      </c>
      <c r="F1068" s="41">
        <v>4.5999999999999996</v>
      </c>
    </row>
    <row r="1069" spans="5:6" x14ac:dyDescent="0.3">
      <c r="E1069" s="26">
        <v>45624</v>
      </c>
      <c r="F1069" s="41">
        <v>0</v>
      </c>
    </row>
    <row r="1070" spans="5:6" x14ac:dyDescent="0.3">
      <c r="E1070" s="26">
        <v>45625</v>
      </c>
      <c r="F1070" s="41">
        <v>0</v>
      </c>
    </row>
    <row r="1071" spans="5:6" x14ac:dyDescent="0.3">
      <c r="E1071" s="26">
        <v>45626</v>
      </c>
      <c r="F1071" s="42">
        <v>0</v>
      </c>
    </row>
    <row r="1072" spans="5:6" x14ac:dyDescent="0.3">
      <c r="E1072" s="26">
        <v>45627</v>
      </c>
      <c r="F1072" s="42">
        <v>8</v>
      </c>
    </row>
    <row r="1073" spans="5:6" x14ac:dyDescent="0.3">
      <c r="E1073" s="26">
        <v>45628</v>
      </c>
      <c r="F1073" s="42">
        <v>8.5</v>
      </c>
    </row>
    <row r="1074" spans="5:6" x14ac:dyDescent="0.3">
      <c r="E1074" s="26">
        <v>45629</v>
      </c>
      <c r="F1074" s="42">
        <v>21</v>
      </c>
    </row>
    <row r="1075" spans="5:6" x14ac:dyDescent="0.3">
      <c r="E1075" s="26">
        <v>45630</v>
      </c>
      <c r="F1075" s="42">
        <v>5</v>
      </c>
    </row>
    <row r="1076" spans="5:6" x14ac:dyDescent="0.3">
      <c r="E1076" s="26">
        <v>45631</v>
      </c>
      <c r="F1076" s="42">
        <v>2</v>
      </c>
    </row>
    <row r="1077" spans="5:6" x14ac:dyDescent="0.3">
      <c r="E1077" s="26">
        <v>45632</v>
      </c>
      <c r="F1077" s="42">
        <v>2</v>
      </c>
    </row>
    <row r="1078" spans="5:6" x14ac:dyDescent="0.3">
      <c r="E1078" s="26">
        <v>45633</v>
      </c>
      <c r="F1078" s="42">
        <v>25</v>
      </c>
    </row>
    <row r="1079" spans="5:6" x14ac:dyDescent="0.3">
      <c r="E1079" s="26">
        <v>45634</v>
      </c>
      <c r="F1079" s="42">
        <v>4</v>
      </c>
    </row>
    <row r="1080" spans="5:6" x14ac:dyDescent="0.3">
      <c r="E1080" s="26">
        <v>45635</v>
      </c>
      <c r="F1080" s="42">
        <v>5</v>
      </c>
    </row>
    <row r="1081" spans="5:6" x14ac:dyDescent="0.3">
      <c r="E1081" s="26">
        <v>45636</v>
      </c>
      <c r="F1081" s="42">
        <v>7.3</v>
      </c>
    </row>
    <row r="1082" spans="5:6" x14ac:dyDescent="0.3">
      <c r="E1082" s="26">
        <v>45637</v>
      </c>
      <c r="F1082" s="42">
        <v>13</v>
      </c>
    </row>
    <row r="1083" spans="5:6" x14ac:dyDescent="0.3">
      <c r="E1083" s="26">
        <v>45638</v>
      </c>
      <c r="F1083" s="42">
        <v>10.199999999999999</v>
      </c>
    </row>
    <row r="1084" spans="5:6" x14ac:dyDescent="0.3">
      <c r="E1084" s="26">
        <v>45639</v>
      </c>
      <c r="F1084" s="42">
        <v>11.6</v>
      </c>
    </row>
    <row r="1085" spans="5:6" x14ac:dyDescent="0.3">
      <c r="E1085" s="26">
        <v>45640</v>
      </c>
      <c r="F1085" s="42">
        <v>14.9</v>
      </c>
    </row>
    <row r="1086" spans="5:6" x14ac:dyDescent="0.3">
      <c r="E1086" s="26">
        <v>45641</v>
      </c>
      <c r="F1086" s="42">
        <v>12.9</v>
      </c>
    </row>
    <row r="1087" spans="5:6" x14ac:dyDescent="0.3">
      <c r="E1087" s="26">
        <v>45642</v>
      </c>
      <c r="F1087" s="42">
        <v>23</v>
      </c>
    </row>
    <row r="1088" spans="5:6" x14ac:dyDescent="0.3">
      <c r="E1088" s="26">
        <v>45643</v>
      </c>
      <c r="F1088" s="42">
        <v>2</v>
      </c>
    </row>
    <row r="1089" spans="5:6" x14ac:dyDescent="0.3">
      <c r="E1089" s="26">
        <v>45644</v>
      </c>
      <c r="F1089" s="42">
        <v>2</v>
      </c>
    </row>
    <row r="1090" spans="5:6" x14ac:dyDescent="0.3">
      <c r="E1090" s="26">
        <v>45645</v>
      </c>
      <c r="F1090" s="42">
        <v>6</v>
      </c>
    </row>
    <row r="1091" spans="5:6" x14ac:dyDescent="0.3">
      <c r="E1091" s="26">
        <v>45646</v>
      </c>
      <c r="F1091" s="42">
        <v>7.3</v>
      </c>
    </row>
    <row r="1092" spans="5:6" x14ac:dyDescent="0.3">
      <c r="E1092" s="26">
        <v>45647</v>
      </c>
      <c r="F1092" s="42">
        <v>14</v>
      </c>
    </row>
    <row r="1093" spans="5:6" x14ac:dyDescent="0.3">
      <c r="E1093" s="26">
        <v>45648</v>
      </c>
      <c r="F1093" s="42">
        <v>8.1</v>
      </c>
    </row>
    <row r="1094" spans="5:6" x14ac:dyDescent="0.3">
      <c r="E1094" s="26">
        <v>45649</v>
      </c>
      <c r="F1094" s="42">
        <v>6.8</v>
      </c>
    </row>
    <row r="1095" spans="5:6" x14ac:dyDescent="0.3">
      <c r="E1095" s="26">
        <v>45650</v>
      </c>
      <c r="F1095" s="42">
        <v>3</v>
      </c>
    </row>
    <row r="1096" spans="5:6" x14ac:dyDescent="0.3">
      <c r="E1096" s="26">
        <v>45651</v>
      </c>
      <c r="F1096" s="42">
        <v>2</v>
      </c>
    </row>
    <row r="1097" spans="5:6" x14ac:dyDescent="0.3">
      <c r="E1097" s="26">
        <v>45652</v>
      </c>
      <c r="F1097" s="42">
        <v>2.5</v>
      </c>
    </row>
    <row r="1098" spans="5:6" x14ac:dyDescent="0.3">
      <c r="E1098" s="26">
        <v>45653</v>
      </c>
      <c r="F1098" s="42">
        <v>2.5</v>
      </c>
    </row>
    <row r="1099" spans="5:6" x14ac:dyDescent="0.3">
      <c r="E1099" s="26">
        <v>45654</v>
      </c>
      <c r="F1099" s="42">
        <v>4.5</v>
      </c>
    </row>
    <row r="1100" spans="5:6" x14ac:dyDescent="0.3">
      <c r="E1100" s="26">
        <v>45655</v>
      </c>
      <c r="F1100" s="42">
        <v>3</v>
      </c>
    </row>
    <row r="1101" spans="5:6" x14ac:dyDescent="0.3">
      <c r="E1101" s="55">
        <v>45656</v>
      </c>
      <c r="F1101" s="56">
        <v>10</v>
      </c>
    </row>
    <row r="1102" spans="5:6" x14ac:dyDescent="0.3">
      <c r="E1102" s="57">
        <v>45657</v>
      </c>
      <c r="F1102" s="58">
        <v>81</v>
      </c>
    </row>
  </sheetData>
  <mergeCells count="2">
    <mergeCell ref="E5:G5"/>
    <mergeCell ref="I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EVT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Rusqi</dc:creator>
  <cp:lastModifiedBy>Muhammad Rusqi</cp:lastModifiedBy>
  <dcterms:created xsi:type="dcterms:W3CDTF">2025-04-14T03:59:59Z</dcterms:created>
  <dcterms:modified xsi:type="dcterms:W3CDTF">2025-05-07T11:54:01Z</dcterms:modified>
</cp:coreProperties>
</file>